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Équipements" sheetId="2" r:id="rId2"/>
    <sheet name="Modes de défaillance" sheetId="3" r:id="rId3"/>
    <sheet name="Pannes récurrentes" sheetId="4" r:id="rId4"/>
    <sheet name="Tendance" sheetId="5" r:id="rId5"/>
    <sheet name="Backlog" sheetId="6" r:id="rId6"/>
    <sheet name="Qualité données" sheetId="7" r:id="rId7"/>
    <sheet name="Données" sheetId="8" r:id="rId8"/>
    <sheet name="Méthode" sheetId="9" r:id="rId9"/>
  </sheets>
  <definedNames>
    <definedName name="_xlnm._FilterDatabase" localSheetId="5" hidden="1">Backlog!$A$15:$L$89</definedName>
    <definedName name="_xlnm._FilterDatabase" localSheetId="7" hidden="1">Données!$A$1:$S$822</definedName>
    <definedName name="_xlnm._FilterDatabase" localSheetId="1" hidden="1">Équipements!$A$4:$L$27</definedName>
  </definedNames>
  <calcPr calcId="124519" fullCalcOnLoad="1"/>
</workbook>
</file>

<file path=xl/sharedStrings.xml><?xml version="1.0" encoding="utf-8"?>
<sst xmlns="http://schemas.openxmlformats.org/spreadsheetml/2006/main" count="10032" uniqueCount="1180">
  <si>
    <t>Ordre</t>
  </si>
  <si>
    <t>4000000</t>
  </si>
  <si>
    <t>4000001</t>
  </si>
  <si>
    <t>4000002</t>
  </si>
  <si>
    <t>4000003</t>
  </si>
  <si>
    <t>4000004</t>
  </si>
  <si>
    <t>4000005</t>
  </si>
  <si>
    <t>4000006</t>
  </si>
  <si>
    <t>4000007</t>
  </si>
  <si>
    <t>4000008</t>
  </si>
  <si>
    <t>4000009</t>
  </si>
  <si>
    <t>4000010</t>
  </si>
  <si>
    <t>4000011</t>
  </si>
  <si>
    <t>4000012</t>
  </si>
  <si>
    <t>4000013</t>
  </si>
  <si>
    <t>4000014</t>
  </si>
  <si>
    <t>4000015</t>
  </si>
  <si>
    <t>4000016</t>
  </si>
  <si>
    <t>4000017</t>
  </si>
  <si>
    <t>4000018</t>
  </si>
  <si>
    <t>4000019</t>
  </si>
  <si>
    <t>4000020</t>
  </si>
  <si>
    <t>4000021</t>
  </si>
  <si>
    <t>4000022</t>
  </si>
  <si>
    <t>4000023</t>
  </si>
  <si>
    <t>4000024</t>
  </si>
  <si>
    <t>4000025</t>
  </si>
  <si>
    <t>4000026</t>
  </si>
  <si>
    <t>4000027</t>
  </si>
  <si>
    <t>4000028</t>
  </si>
  <si>
    <t>4000029</t>
  </si>
  <si>
    <t>4000030</t>
  </si>
  <si>
    <t>4000031</t>
  </si>
  <si>
    <t>4000032</t>
  </si>
  <si>
    <t>4000033</t>
  </si>
  <si>
    <t>4000034</t>
  </si>
  <si>
    <t>4000035</t>
  </si>
  <si>
    <t>4000036</t>
  </si>
  <si>
    <t>4000037</t>
  </si>
  <si>
    <t>4000038</t>
  </si>
  <si>
    <t>4000039</t>
  </si>
  <si>
    <t>4000040</t>
  </si>
  <si>
    <t>4000041</t>
  </si>
  <si>
    <t>4000042</t>
  </si>
  <si>
    <t>4000043</t>
  </si>
  <si>
    <t>4000044</t>
  </si>
  <si>
    <t>4000045</t>
  </si>
  <si>
    <t>4000046</t>
  </si>
  <si>
    <t>4000047</t>
  </si>
  <si>
    <t>4000048</t>
  </si>
  <si>
    <t>4000049</t>
  </si>
  <si>
    <t>4000050</t>
  </si>
  <si>
    <t>4000051</t>
  </si>
  <si>
    <t>4000052</t>
  </si>
  <si>
    <t>4000053</t>
  </si>
  <si>
    <t>4000054</t>
  </si>
  <si>
    <t>4000055</t>
  </si>
  <si>
    <t>4000056</t>
  </si>
  <si>
    <t>4000057</t>
  </si>
  <si>
    <t>4000058</t>
  </si>
  <si>
    <t>4000059</t>
  </si>
  <si>
    <t>4000060</t>
  </si>
  <si>
    <t>4000061</t>
  </si>
  <si>
    <t>4000062</t>
  </si>
  <si>
    <t>4000063</t>
  </si>
  <si>
    <t>4000064</t>
  </si>
  <si>
    <t>4000065</t>
  </si>
  <si>
    <t>4000066</t>
  </si>
  <si>
    <t>4000067</t>
  </si>
  <si>
    <t>4000068</t>
  </si>
  <si>
    <t>4000069</t>
  </si>
  <si>
    <t>4000070</t>
  </si>
  <si>
    <t>4000071</t>
  </si>
  <si>
    <t>4000072</t>
  </si>
  <si>
    <t>4000073</t>
  </si>
  <si>
    <t>4000074</t>
  </si>
  <si>
    <t>4000075</t>
  </si>
  <si>
    <t>4000076</t>
  </si>
  <si>
    <t>4000077</t>
  </si>
  <si>
    <t>4000078</t>
  </si>
  <si>
    <t>4000079</t>
  </si>
  <si>
    <t>4000080</t>
  </si>
  <si>
    <t>4000081</t>
  </si>
  <si>
    <t>4000082</t>
  </si>
  <si>
    <t>4000083</t>
  </si>
  <si>
    <t>4000084</t>
  </si>
  <si>
    <t>4000085</t>
  </si>
  <si>
    <t>4000086</t>
  </si>
  <si>
    <t>4000087</t>
  </si>
  <si>
    <t>4000088</t>
  </si>
  <si>
    <t>4000089</t>
  </si>
  <si>
    <t>4000090</t>
  </si>
  <si>
    <t>4000091</t>
  </si>
  <si>
    <t>4000092</t>
  </si>
  <si>
    <t>4000093</t>
  </si>
  <si>
    <t>4000094</t>
  </si>
  <si>
    <t>4000095</t>
  </si>
  <si>
    <t>4000096</t>
  </si>
  <si>
    <t>4000097</t>
  </si>
  <si>
    <t>4000098</t>
  </si>
  <si>
    <t>4000099</t>
  </si>
  <si>
    <t>4000100</t>
  </si>
  <si>
    <t>4000101</t>
  </si>
  <si>
    <t>4000102</t>
  </si>
  <si>
    <t>4000103</t>
  </si>
  <si>
    <t>4000104</t>
  </si>
  <si>
    <t>4000105</t>
  </si>
  <si>
    <t>4000106</t>
  </si>
  <si>
    <t>4000107</t>
  </si>
  <si>
    <t>4000108</t>
  </si>
  <si>
    <t>4000109</t>
  </si>
  <si>
    <t>4000110</t>
  </si>
  <si>
    <t>4000111</t>
  </si>
  <si>
    <t>4000112</t>
  </si>
  <si>
    <t>4000113</t>
  </si>
  <si>
    <t>4000114</t>
  </si>
  <si>
    <t>4000115</t>
  </si>
  <si>
    <t>4000116</t>
  </si>
  <si>
    <t>4000117</t>
  </si>
  <si>
    <t>4000118</t>
  </si>
  <si>
    <t>4000119</t>
  </si>
  <si>
    <t>4000120</t>
  </si>
  <si>
    <t>4000121</t>
  </si>
  <si>
    <t>4000122</t>
  </si>
  <si>
    <t>4000123</t>
  </si>
  <si>
    <t>4000124</t>
  </si>
  <si>
    <t>4000125</t>
  </si>
  <si>
    <t>4000126</t>
  </si>
  <si>
    <t>4000127</t>
  </si>
  <si>
    <t>4000128</t>
  </si>
  <si>
    <t>4000129</t>
  </si>
  <si>
    <t>4000130</t>
  </si>
  <si>
    <t>4000131</t>
  </si>
  <si>
    <t>4000132</t>
  </si>
  <si>
    <t>4000133</t>
  </si>
  <si>
    <t>4000134</t>
  </si>
  <si>
    <t>4000135</t>
  </si>
  <si>
    <t>4000136</t>
  </si>
  <si>
    <t>4000137</t>
  </si>
  <si>
    <t>4000138</t>
  </si>
  <si>
    <t>4000139</t>
  </si>
  <si>
    <t>4000140</t>
  </si>
  <si>
    <t>4000141</t>
  </si>
  <si>
    <t>4000142</t>
  </si>
  <si>
    <t>4000143</t>
  </si>
  <si>
    <t>4000144</t>
  </si>
  <si>
    <t>4000145</t>
  </si>
  <si>
    <t>4000146</t>
  </si>
  <si>
    <t>4000147</t>
  </si>
  <si>
    <t>4000148</t>
  </si>
  <si>
    <t>4000149</t>
  </si>
  <si>
    <t>4000150</t>
  </si>
  <si>
    <t>4000151</t>
  </si>
  <si>
    <t>4000152</t>
  </si>
  <si>
    <t>4000153</t>
  </si>
  <si>
    <t>4000154</t>
  </si>
  <si>
    <t>4000155</t>
  </si>
  <si>
    <t>4000156</t>
  </si>
  <si>
    <t>4000157</t>
  </si>
  <si>
    <t>4000158</t>
  </si>
  <si>
    <t>4000159</t>
  </si>
  <si>
    <t>4000160</t>
  </si>
  <si>
    <t>4000161</t>
  </si>
  <si>
    <t>4000162</t>
  </si>
  <si>
    <t>4000163</t>
  </si>
  <si>
    <t>4000164</t>
  </si>
  <si>
    <t>4000165</t>
  </si>
  <si>
    <t>4000166</t>
  </si>
  <si>
    <t>4000167</t>
  </si>
  <si>
    <t>4000168</t>
  </si>
  <si>
    <t>4000169</t>
  </si>
  <si>
    <t>4000170</t>
  </si>
  <si>
    <t>4000171</t>
  </si>
  <si>
    <t>4000172</t>
  </si>
  <si>
    <t>4000173</t>
  </si>
  <si>
    <t>4000174</t>
  </si>
  <si>
    <t>4000175</t>
  </si>
  <si>
    <t>4000176</t>
  </si>
  <si>
    <t>4000177</t>
  </si>
  <si>
    <t>4000178</t>
  </si>
  <si>
    <t>4000179</t>
  </si>
  <si>
    <t>4000180</t>
  </si>
  <si>
    <t>4000181</t>
  </si>
  <si>
    <t>4000182</t>
  </si>
  <si>
    <t>4000183</t>
  </si>
  <si>
    <t>4000184</t>
  </si>
  <si>
    <t>4000185</t>
  </si>
  <si>
    <t>4000186</t>
  </si>
  <si>
    <t>4000187</t>
  </si>
  <si>
    <t>4000188</t>
  </si>
  <si>
    <t>4000189</t>
  </si>
  <si>
    <t>4000190</t>
  </si>
  <si>
    <t>4000191</t>
  </si>
  <si>
    <t>4000192</t>
  </si>
  <si>
    <t>4000193</t>
  </si>
  <si>
    <t>4000194</t>
  </si>
  <si>
    <t>4000195</t>
  </si>
  <si>
    <t>4000196</t>
  </si>
  <si>
    <t>4000197</t>
  </si>
  <si>
    <t>4000198</t>
  </si>
  <si>
    <t>4000199</t>
  </si>
  <si>
    <t>4000200</t>
  </si>
  <si>
    <t>4000201</t>
  </si>
  <si>
    <t>4000202</t>
  </si>
  <si>
    <t>4000203</t>
  </si>
  <si>
    <t>4000204</t>
  </si>
  <si>
    <t>4000205</t>
  </si>
  <si>
    <t>4000206</t>
  </si>
  <si>
    <t>4000207</t>
  </si>
  <si>
    <t>4000208</t>
  </si>
  <si>
    <t>4000209</t>
  </si>
  <si>
    <t>4000210</t>
  </si>
  <si>
    <t>4000211</t>
  </si>
  <si>
    <t>4000212</t>
  </si>
  <si>
    <t>4000213</t>
  </si>
  <si>
    <t>4000214</t>
  </si>
  <si>
    <t>4000215</t>
  </si>
  <si>
    <t>4000216</t>
  </si>
  <si>
    <t>4000217</t>
  </si>
  <si>
    <t>4000218</t>
  </si>
  <si>
    <t>4000219</t>
  </si>
  <si>
    <t>4000220</t>
  </si>
  <si>
    <t>4000221</t>
  </si>
  <si>
    <t>4000222</t>
  </si>
  <si>
    <t>4000223</t>
  </si>
  <si>
    <t>4000224</t>
  </si>
  <si>
    <t>4000225</t>
  </si>
  <si>
    <t>4000226</t>
  </si>
  <si>
    <t>4000227</t>
  </si>
  <si>
    <t>4000228</t>
  </si>
  <si>
    <t>4000229</t>
  </si>
  <si>
    <t>4000230</t>
  </si>
  <si>
    <t>4000231</t>
  </si>
  <si>
    <t>4000232</t>
  </si>
  <si>
    <t>4000233</t>
  </si>
  <si>
    <t>4000234</t>
  </si>
  <si>
    <t>4000235</t>
  </si>
  <si>
    <t>4000236</t>
  </si>
  <si>
    <t>4000237</t>
  </si>
  <si>
    <t>4000238</t>
  </si>
  <si>
    <t>4000239</t>
  </si>
  <si>
    <t>4000240</t>
  </si>
  <si>
    <t>4000241</t>
  </si>
  <si>
    <t>4000242</t>
  </si>
  <si>
    <t>4000243</t>
  </si>
  <si>
    <t>4000244</t>
  </si>
  <si>
    <t>4000245</t>
  </si>
  <si>
    <t>4000246</t>
  </si>
  <si>
    <t>4000247</t>
  </si>
  <si>
    <t>4000248</t>
  </si>
  <si>
    <t>4000249</t>
  </si>
  <si>
    <t>4000250</t>
  </si>
  <si>
    <t>4000251</t>
  </si>
  <si>
    <t>4000252</t>
  </si>
  <si>
    <t>4000253</t>
  </si>
  <si>
    <t>4000254</t>
  </si>
  <si>
    <t>4000255</t>
  </si>
  <si>
    <t>4000256</t>
  </si>
  <si>
    <t>4000257</t>
  </si>
  <si>
    <t>4000258</t>
  </si>
  <si>
    <t>4000259</t>
  </si>
  <si>
    <t>4000260</t>
  </si>
  <si>
    <t>4000261</t>
  </si>
  <si>
    <t>4000262</t>
  </si>
  <si>
    <t>4000263</t>
  </si>
  <si>
    <t>4000264</t>
  </si>
  <si>
    <t>4000265</t>
  </si>
  <si>
    <t>4000266</t>
  </si>
  <si>
    <t>4000267</t>
  </si>
  <si>
    <t>4000268</t>
  </si>
  <si>
    <t>4000269</t>
  </si>
  <si>
    <t>4000270</t>
  </si>
  <si>
    <t>4000271</t>
  </si>
  <si>
    <t>4000272</t>
  </si>
  <si>
    <t>4000273</t>
  </si>
  <si>
    <t>4000274</t>
  </si>
  <si>
    <t>4000275</t>
  </si>
  <si>
    <t>4000276</t>
  </si>
  <si>
    <t>4000277</t>
  </si>
  <si>
    <t>4000278</t>
  </si>
  <si>
    <t>4000279</t>
  </si>
  <si>
    <t>4000280</t>
  </si>
  <si>
    <t>4000281</t>
  </si>
  <si>
    <t>4000282</t>
  </si>
  <si>
    <t>4000283</t>
  </si>
  <si>
    <t>4000284</t>
  </si>
  <si>
    <t>4000285</t>
  </si>
  <si>
    <t>4000286</t>
  </si>
  <si>
    <t>4000287</t>
  </si>
  <si>
    <t>4000288</t>
  </si>
  <si>
    <t>4000289</t>
  </si>
  <si>
    <t>4000290</t>
  </si>
  <si>
    <t>4000291</t>
  </si>
  <si>
    <t>4000292</t>
  </si>
  <si>
    <t>4000293</t>
  </si>
  <si>
    <t>4000294</t>
  </si>
  <si>
    <t>4000295</t>
  </si>
  <si>
    <t>4000296</t>
  </si>
  <si>
    <t>4000297</t>
  </si>
  <si>
    <t>4000298</t>
  </si>
  <si>
    <t>4000299</t>
  </si>
  <si>
    <t>4000300</t>
  </si>
  <si>
    <t>4000301</t>
  </si>
  <si>
    <t>4000302</t>
  </si>
  <si>
    <t>4000303</t>
  </si>
  <si>
    <t>4000304</t>
  </si>
  <si>
    <t>4000305</t>
  </si>
  <si>
    <t>4000306</t>
  </si>
  <si>
    <t>4000307</t>
  </si>
  <si>
    <t>4000308</t>
  </si>
  <si>
    <t>4000309</t>
  </si>
  <si>
    <t>4000310</t>
  </si>
  <si>
    <t>4000311</t>
  </si>
  <si>
    <t>4000312</t>
  </si>
  <si>
    <t>4000313</t>
  </si>
  <si>
    <t>4000314</t>
  </si>
  <si>
    <t>4000315</t>
  </si>
  <si>
    <t>4000316</t>
  </si>
  <si>
    <t>4000317</t>
  </si>
  <si>
    <t>4000318</t>
  </si>
  <si>
    <t>4000319</t>
  </si>
  <si>
    <t>4000320</t>
  </si>
  <si>
    <t>4000321</t>
  </si>
  <si>
    <t>4000322</t>
  </si>
  <si>
    <t>4000323</t>
  </si>
  <si>
    <t>4000324</t>
  </si>
  <si>
    <t>4000325</t>
  </si>
  <si>
    <t>4000326</t>
  </si>
  <si>
    <t>4000327</t>
  </si>
  <si>
    <t>4000328</t>
  </si>
  <si>
    <t>4000329</t>
  </si>
  <si>
    <t>4000330</t>
  </si>
  <si>
    <t>4000331</t>
  </si>
  <si>
    <t>4000332</t>
  </si>
  <si>
    <t>4000333</t>
  </si>
  <si>
    <t>4000334</t>
  </si>
  <si>
    <t>4000335</t>
  </si>
  <si>
    <t>4000336</t>
  </si>
  <si>
    <t>4000337</t>
  </si>
  <si>
    <t>4000338</t>
  </si>
  <si>
    <t>4000339</t>
  </si>
  <si>
    <t>4000340</t>
  </si>
  <si>
    <t>4000341</t>
  </si>
  <si>
    <t>4000342</t>
  </si>
  <si>
    <t>4000343</t>
  </si>
  <si>
    <t>4000344</t>
  </si>
  <si>
    <t>4000345</t>
  </si>
  <si>
    <t>4000346</t>
  </si>
  <si>
    <t>4000347</t>
  </si>
  <si>
    <t>4000348</t>
  </si>
  <si>
    <t>4000349</t>
  </si>
  <si>
    <t>4000350</t>
  </si>
  <si>
    <t>4000351</t>
  </si>
  <si>
    <t>4000352</t>
  </si>
  <si>
    <t>4000353</t>
  </si>
  <si>
    <t>4000354</t>
  </si>
  <si>
    <t>4000355</t>
  </si>
  <si>
    <t>4000356</t>
  </si>
  <si>
    <t>4000357</t>
  </si>
  <si>
    <t>4000358</t>
  </si>
  <si>
    <t>4000359</t>
  </si>
  <si>
    <t>4000360</t>
  </si>
  <si>
    <t>4000361</t>
  </si>
  <si>
    <t>4000362</t>
  </si>
  <si>
    <t>4000363</t>
  </si>
  <si>
    <t>4000364</t>
  </si>
  <si>
    <t>4000365</t>
  </si>
  <si>
    <t>4000366</t>
  </si>
  <si>
    <t>4000367</t>
  </si>
  <si>
    <t>4000368</t>
  </si>
  <si>
    <t>4000369</t>
  </si>
  <si>
    <t>4000370</t>
  </si>
  <si>
    <t>4000371</t>
  </si>
  <si>
    <t>4000372</t>
  </si>
  <si>
    <t>4000373</t>
  </si>
  <si>
    <t>4000374</t>
  </si>
  <si>
    <t>4000375</t>
  </si>
  <si>
    <t>4000376</t>
  </si>
  <si>
    <t>4000377</t>
  </si>
  <si>
    <t>4000378</t>
  </si>
  <si>
    <t>4000379</t>
  </si>
  <si>
    <t>4000380</t>
  </si>
  <si>
    <t>4000381</t>
  </si>
  <si>
    <t>4000382</t>
  </si>
  <si>
    <t>4000383</t>
  </si>
  <si>
    <t>4000384</t>
  </si>
  <si>
    <t>4000385</t>
  </si>
  <si>
    <t>4000386</t>
  </si>
  <si>
    <t>4000387</t>
  </si>
  <si>
    <t>4000388</t>
  </si>
  <si>
    <t>4000389</t>
  </si>
  <si>
    <t>4000390</t>
  </si>
  <si>
    <t>4000391</t>
  </si>
  <si>
    <t>4000392</t>
  </si>
  <si>
    <t>4000393</t>
  </si>
  <si>
    <t>4000394</t>
  </si>
  <si>
    <t>4000395</t>
  </si>
  <si>
    <t>4000396</t>
  </si>
  <si>
    <t>4000397</t>
  </si>
  <si>
    <t>4000398</t>
  </si>
  <si>
    <t>4000399</t>
  </si>
  <si>
    <t>4000400</t>
  </si>
  <si>
    <t>4000401</t>
  </si>
  <si>
    <t>4000402</t>
  </si>
  <si>
    <t>4000403</t>
  </si>
  <si>
    <t>4000404</t>
  </si>
  <si>
    <t>4000405</t>
  </si>
  <si>
    <t>4000406</t>
  </si>
  <si>
    <t>4000407</t>
  </si>
  <si>
    <t>4000408</t>
  </si>
  <si>
    <t>4000409</t>
  </si>
  <si>
    <t>4000410</t>
  </si>
  <si>
    <t>4000411</t>
  </si>
  <si>
    <t>4000412</t>
  </si>
  <si>
    <t>4000413</t>
  </si>
  <si>
    <t>4000414</t>
  </si>
  <si>
    <t>4000415</t>
  </si>
  <si>
    <t>4000416</t>
  </si>
  <si>
    <t>4000417</t>
  </si>
  <si>
    <t>4000418</t>
  </si>
  <si>
    <t>4000419</t>
  </si>
  <si>
    <t>4000420</t>
  </si>
  <si>
    <t>4000421</t>
  </si>
  <si>
    <t>4000422</t>
  </si>
  <si>
    <t>4000423</t>
  </si>
  <si>
    <t>4000424</t>
  </si>
  <si>
    <t>4000425</t>
  </si>
  <si>
    <t>4000426</t>
  </si>
  <si>
    <t>4000427</t>
  </si>
  <si>
    <t>4000428</t>
  </si>
  <si>
    <t>4000429</t>
  </si>
  <si>
    <t>4000430</t>
  </si>
  <si>
    <t>4000431</t>
  </si>
  <si>
    <t>4000432</t>
  </si>
  <si>
    <t>4000433</t>
  </si>
  <si>
    <t>4000434</t>
  </si>
  <si>
    <t>4000435</t>
  </si>
  <si>
    <t>4000436</t>
  </si>
  <si>
    <t>4000437</t>
  </si>
  <si>
    <t>4000438</t>
  </si>
  <si>
    <t>4000439</t>
  </si>
  <si>
    <t>4000440</t>
  </si>
  <si>
    <t>4000441</t>
  </si>
  <si>
    <t>4000442</t>
  </si>
  <si>
    <t>4000443</t>
  </si>
  <si>
    <t>4000444</t>
  </si>
  <si>
    <t>4000445</t>
  </si>
  <si>
    <t>4000446</t>
  </si>
  <si>
    <t>4000447</t>
  </si>
  <si>
    <t>4000448</t>
  </si>
  <si>
    <t>4000449</t>
  </si>
  <si>
    <t>4000450</t>
  </si>
  <si>
    <t>4000451</t>
  </si>
  <si>
    <t>4000452</t>
  </si>
  <si>
    <t>4000453</t>
  </si>
  <si>
    <t>4000454</t>
  </si>
  <si>
    <t>4000455</t>
  </si>
  <si>
    <t>4000456</t>
  </si>
  <si>
    <t>4000457</t>
  </si>
  <si>
    <t>4000458</t>
  </si>
  <si>
    <t>4000459</t>
  </si>
  <si>
    <t>4000460</t>
  </si>
  <si>
    <t>4000461</t>
  </si>
  <si>
    <t>4000462</t>
  </si>
  <si>
    <t>4000463</t>
  </si>
  <si>
    <t>4000464</t>
  </si>
  <si>
    <t>4000465</t>
  </si>
  <si>
    <t>4000466</t>
  </si>
  <si>
    <t>4000467</t>
  </si>
  <si>
    <t>4000468</t>
  </si>
  <si>
    <t>4000469</t>
  </si>
  <si>
    <t>4000470</t>
  </si>
  <si>
    <t>4000471</t>
  </si>
  <si>
    <t>4000472</t>
  </si>
  <si>
    <t>4000473</t>
  </si>
  <si>
    <t>4000474</t>
  </si>
  <si>
    <t>4000475</t>
  </si>
  <si>
    <t>4000476</t>
  </si>
  <si>
    <t>4000477</t>
  </si>
  <si>
    <t>4000478</t>
  </si>
  <si>
    <t>4000479</t>
  </si>
  <si>
    <t>4000480</t>
  </si>
  <si>
    <t>4000481</t>
  </si>
  <si>
    <t>4000482</t>
  </si>
  <si>
    <t>4000483</t>
  </si>
  <si>
    <t>4000484</t>
  </si>
  <si>
    <t>4000485</t>
  </si>
  <si>
    <t>4000486</t>
  </si>
  <si>
    <t>4000487</t>
  </si>
  <si>
    <t>4000488</t>
  </si>
  <si>
    <t>4000489</t>
  </si>
  <si>
    <t>4000490</t>
  </si>
  <si>
    <t>4000491</t>
  </si>
  <si>
    <t>4000492</t>
  </si>
  <si>
    <t>4000493</t>
  </si>
  <si>
    <t>4000494</t>
  </si>
  <si>
    <t>4000495</t>
  </si>
  <si>
    <t>4000496</t>
  </si>
  <si>
    <t>4000497</t>
  </si>
  <si>
    <t>4000498</t>
  </si>
  <si>
    <t>4000499</t>
  </si>
  <si>
    <t>4000500</t>
  </si>
  <si>
    <t>4000501</t>
  </si>
  <si>
    <t>4000502</t>
  </si>
  <si>
    <t>4000503</t>
  </si>
  <si>
    <t>4000504</t>
  </si>
  <si>
    <t>4000505</t>
  </si>
  <si>
    <t>4000506</t>
  </si>
  <si>
    <t>4000507</t>
  </si>
  <si>
    <t>4000508</t>
  </si>
  <si>
    <t>4000509</t>
  </si>
  <si>
    <t>4000510</t>
  </si>
  <si>
    <t>4000511</t>
  </si>
  <si>
    <t>4000512</t>
  </si>
  <si>
    <t>4000513</t>
  </si>
  <si>
    <t>4000514</t>
  </si>
  <si>
    <t>4000515</t>
  </si>
  <si>
    <t>4000516</t>
  </si>
  <si>
    <t>4000517</t>
  </si>
  <si>
    <t>4000518</t>
  </si>
  <si>
    <t>4000519</t>
  </si>
  <si>
    <t>4000520</t>
  </si>
  <si>
    <t>4000521</t>
  </si>
  <si>
    <t>4000522</t>
  </si>
  <si>
    <t>4000523</t>
  </si>
  <si>
    <t>4000524</t>
  </si>
  <si>
    <t>4000525</t>
  </si>
  <si>
    <t>4000526</t>
  </si>
  <si>
    <t>4000527</t>
  </si>
  <si>
    <t>4000528</t>
  </si>
  <si>
    <t>4000529</t>
  </si>
  <si>
    <t>4000530</t>
  </si>
  <si>
    <t>4000531</t>
  </si>
  <si>
    <t>4000532</t>
  </si>
  <si>
    <t>4000533</t>
  </si>
  <si>
    <t>4000534</t>
  </si>
  <si>
    <t>4000535</t>
  </si>
  <si>
    <t>4000536</t>
  </si>
  <si>
    <t>4000537</t>
  </si>
  <si>
    <t>4000538</t>
  </si>
  <si>
    <t>4000539</t>
  </si>
  <si>
    <t>4000540</t>
  </si>
  <si>
    <t>4000541</t>
  </si>
  <si>
    <t>4000542</t>
  </si>
  <si>
    <t>4000543</t>
  </si>
  <si>
    <t>4000544</t>
  </si>
  <si>
    <t>4000545</t>
  </si>
  <si>
    <t>4000546</t>
  </si>
  <si>
    <t>4000547</t>
  </si>
  <si>
    <t>4000548</t>
  </si>
  <si>
    <t>4000549</t>
  </si>
  <si>
    <t>4000550</t>
  </si>
  <si>
    <t>4000551</t>
  </si>
  <si>
    <t>4000552</t>
  </si>
  <si>
    <t>4000553</t>
  </si>
  <si>
    <t>4000554</t>
  </si>
  <si>
    <t>4000555</t>
  </si>
  <si>
    <t>4000556</t>
  </si>
  <si>
    <t>4000557</t>
  </si>
  <si>
    <t>4000558</t>
  </si>
  <si>
    <t>4000559</t>
  </si>
  <si>
    <t>4000560</t>
  </si>
  <si>
    <t>4000561</t>
  </si>
  <si>
    <t>4000562</t>
  </si>
  <si>
    <t>4000563</t>
  </si>
  <si>
    <t>4000564</t>
  </si>
  <si>
    <t>4000565</t>
  </si>
  <si>
    <t>4000566</t>
  </si>
  <si>
    <t>4000567</t>
  </si>
  <si>
    <t>4000568</t>
  </si>
  <si>
    <t>4000569</t>
  </si>
  <si>
    <t>4000570</t>
  </si>
  <si>
    <t>4000571</t>
  </si>
  <si>
    <t>4000572</t>
  </si>
  <si>
    <t>4000573</t>
  </si>
  <si>
    <t>4000574</t>
  </si>
  <si>
    <t>4000575</t>
  </si>
  <si>
    <t>4000576</t>
  </si>
  <si>
    <t>4000577</t>
  </si>
  <si>
    <t>4000578</t>
  </si>
  <si>
    <t>4000579</t>
  </si>
  <si>
    <t>4000580</t>
  </si>
  <si>
    <t>4000581</t>
  </si>
  <si>
    <t>4000582</t>
  </si>
  <si>
    <t>4000583</t>
  </si>
  <si>
    <t>4000584</t>
  </si>
  <si>
    <t>4000585</t>
  </si>
  <si>
    <t>4000586</t>
  </si>
  <si>
    <t>4000587</t>
  </si>
  <si>
    <t>4000588</t>
  </si>
  <si>
    <t>4000589</t>
  </si>
  <si>
    <t>4000590</t>
  </si>
  <si>
    <t>4000591</t>
  </si>
  <si>
    <t>4000592</t>
  </si>
  <si>
    <t>4000593</t>
  </si>
  <si>
    <t>4000594</t>
  </si>
  <si>
    <t>4000595</t>
  </si>
  <si>
    <t>4000596</t>
  </si>
  <si>
    <t>4000597</t>
  </si>
  <si>
    <t>4000598</t>
  </si>
  <si>
    <t>4000599</t>
  </si>
  <si>
    <t>4000600</t>
  </si>
  <si>
    <t>4000601</t>
  </si>
  <si>
    <t>4000602</t>
  </si>
  <si>
    <t>4000603</t>
  </si>
  <si>
    <t>4000604</t>
  </si>
  <si>
    <t>4000605</t>
  </si>
  <si>
    <t>4000606</t>
  </si>
  <si>
    <t>4000607</t>
  </si>
  <si>
    <t>4000608</t>
  </si>
  <si>
    <t>4000609</t>
  </si>
  <si>
    <t>4000610</t>
  </si>
  <si>
    <t>4000611</t>
  </si>
  <si>
    <t>4000612</t>
  </si>
  <si>
    <t>4000613</t>
  </si>
  <si>
    <t>4000614</t>
  </si>
  <si>
    <t>4000615</t>
  </si>
  <si>
    <t>4000616</t>
  </si>
  <si>
    <t>4000617</t>
  </si>
  <si>
    <t>4000618</t>
  </si>
  <si>
    <t>4000619</t>
  </si>
  <si>
    <t>4000620</t>
  </si>
  <si>
    <t>4000621</t>
  </si>
  <si>
    <t>4000622</t>
  </si>
  <si>
    <t>4000623</t>
  </si>
  <si>
    <t>4000624</t>
  </si>
  <si>
    <t>4000625</t>
  </si>
  <si>
    <t>4000626</t>
  </si>
  <si>
    <t>4000627</t>
  </si>
  <si>
    <t>4000628</t>
  </si>
  <si>
    <t>4000629</t>
  </si>
  <si>
    <t>4000630</t>
  </si>
  <si>
    <t>4000631</t>
  </si>
  <si>
    <t>4000632</t>
  </si>
  <si>
    <t>4000633</t>
  </si>
  <si>
    <t>4000634</t>
  </si>
  <si>
    <t>4000635</t>
  </si>
  <si>
    <t>4000636</t>
  </si>
  <si>
    <t>4000637</t>
  </si>
  <si>
    <t>4000638</t>
  </si>
  <si>
    <t>4000639</t>
  </si>
  <si>
    <t>4000640</t>
  </si>
  <si>
    <t>4000641</t>
  </si>
  <si>
    <t>4000642</t>
  </si>
  <si>
    <t>4000643</t>
  </si>
  <si>
    <t>4000644</t>
  </si>
  <si>
    <t>4000645</t>
  </si>
  <si>
    <t>4000646</t>
  </si>
  <si>
    <t>4000647</t>
  </si>
  <si>
    <t>4000648</t>
  </si>
  <si>
    <t>4000649</t>
  </si>
  <si>
    <t>4000650</t>
  </si>
  <si>
    <t>4000651</t>
  </si>
  <si>
    <t>4000652</t>
  </si>
  <si>
    <t>4000653</t>
  </si>
  <si>
    <t>4000654</t>
  </si>
  <si>
    <t>4000655</t>
  </si>
  <si>
    <t>4000656</t>
  </si>
  <si>
    <t>4000657</t>
  </si>
  <si>
    <t>4000658</t>
  </si>
  <si>
    <t>4000659</t>
  </si>
  <si>
    <t>4000660</t>
  </si>
  <si>
    <t>4000661</t>
  </si>
  <si>
    <t>4000662</t>
  </si>
  <si>
    <t>4000663</t>
  </si>
  <si>
    <t>4000664</t>
  </si>
  <si>
    <t>4000665</t>
  </si>
  <si>
    <t>4000666</t>
  </si>
  <si>
    <t>4000667</t>
  </si>
  <si>
    <t>4000668</t>
  </si>
  <si>
    <t>4000669</t>
  </si>
  <si>
    <t>4000670</t>
  </si>
  <si>
    <t>4000671</t>
  </si>
  <si>
    <t>4000672</t>
  </si>
  <si>
    <t>4000673</t>
  </si>
  <si>
    <t>4000674</t>
  </si>
  <si>
    <t>4000675</t>
  </si>
  <si>
    <t>4000676</t>
  </si>
  <si>
    <t>4000677</t>
  </si>
  <si>
    <t>4000678</t>
  </si>
  <si>
    <t>4000679</t>
  </si>
  <si>
    <t>4000680</t>
  </si>
  <si>
    <t>4000681</t>
  </si>
  <si>
    <t>4000682</t>
  </si>
  <si>
    <t>4000683</t>
  </si>
  <si>
    <t>4000684</t>
  </si>
  <si>
    <t>4000685</t>
  </si>
  <si>
    <t>4000686</t>
  </si>
  <si>
    <t>4000687</t>
  </si>
  <si>
    <t>4000688</t>
  </si>
  <si>
    <t>4000689</t>
  </si>
  <si>
    <t>4000690</t>
  </si>
  <si>
    <t>4000691</t>
  </si>
  <si>
    <t>4000692</t>
  </si>
  <si>
    <t>4000693</t>
  </si>
  <si>
    <t>4000694</t>
  </si>
  <si>
    <t>4000695</t>
  </si>
  <si>
    <t>4000696</t>
  </si>
  <si>
    <t>4000697</t>
  </si>
  <si>
    <t>4000698</t>
  </si>
  <si>
    <t>4000699</t>
  </si>
  <si>
    <t>4000700</t>
  </si>
  <si>
    <t>4000701</t>
  </si>
  <si>
    <t>4000702</t>
  </si>
  <si>
    <t>4000703</t>
  </si>
  <si>
    <t>4000704</t>
  </si>
  <si>
    <t>4000705</t>
  </si>
  <si>
    <t>4000706</t>
  </si>
  <si>
    <t>4000707</t>
  </si>
  <si>
    <t>4000708</t>
  </si>
  <si>
    <t>4000709</t>
  </si>
  <si>
    <t>4000710</t>
  </si>
  <si>
    <t>4000711</t>
  </si>
  <si>
    <t>4000712</t>
  </si>
  <si>
    <t>4000713</t>
  </si>
  <si>
    <t>4000714</t>
  </si>
  <si>
    <t>4000715</t>
  </si>
  <si>
    <t>4000716</t>
  </si>
  <si>
    <t>4000717</t>
  </si>
  <si>
    <t>4000718</t>
  </si>
  <si>
    <t>4000719</t>
  </si>
  <si>
    <t>4000720</t>
  </si>
  <si>
    <t>4000721</t>
  </si>
  <si>
    <t>4000722</t>
  </si>
  <si>
    <t>4000723</t>
  </si>
  <si>
    <t>4000724</t>
  </si>
  <si>
    <t>4000725</t>
  </si>
  <si>
    <t>4000726</t>
  </si>
  <si>
    <t>4000727</t>
  </si>
  <si>
    <t>4000728</t>
  </si>
  <si>
    <t>4000729</t>
  </si>
  <si>
    <t>4000730</t>
  </si>
  <si>
    <t>4000731</t>
  </si>
  <si>
    <t>4000732</t>
  </si>
  <si>
    <t>4000733</t>
  </si>
  <si>
    <t>4000734</t>
  </si>
  <si>
    <t>4000735</t>
  </si>
  <si>
    <t>4000736</t>
  </si>
  <si>
    <t>4000737</t>
  </si>
  <si>
    <t>4000738</t>
  </si>
  <si>
    <t>4000739</t>
  </si>
  <si>
    <t>4000740</t>
  </si>
  <si>
    <t>4000741</t>
  </si>
  <si>
    <t>4000742</t>
  </si>
  <si>
    <t>4000743</t>
  </si>
  <si>
    <t>4000744</t>
  </si>
  <si>
    <t>4000745</t>
  </si>
  <si>
    <t>4000746</t>
  </si>
  <si>
    <t>4000747</t>
  </si>
  <si>
    <t>4000748</t>
  </si>
  <si>
    <t>4000749</t>
  </si>
  <si>
    <t>4000750</t>
  </si>
  <si>
    <t>4000751</t>
  </si>
  <si>
    <t>4000752</t>
  </si>
  <si>
    <t>4000753</t>
  </si>
  <si>
    <t>4000754</t>
  </si>
  <si>
    <t>4000755</t>
  </si>
  <si>
    <t>4000756</t>
  </si>
  <si>
    <t>4000757</t>
  </si>
  <si>
    <t>4000758</t>
  </si>
  <si>
    <t>4000759</t>
  </si>
  <si>
    <t>4000760</t>
  </si>
  <si>
    <t>4000761</t>
  </si>
  <si>
    <t>4000762</t>
  </si>
  <si>
    <t>4000763</t>
  </si>
  <si>
    <t>4000764</t>
  </si>
  <si>
    <t>4000765</t>
  </si>
  <si>
    <t>4000766</t>
  </si>
  <si>
    <t>4000767</t>
  </si>
  <si>
    <t>4000768</t>
  </si>
  <si>
    <t>4000769</t>
  </si>
  <si>
    <t>4000770</t>
  </si>
  <si>
    <t>4000771</t>
  </si>
  <si>
    <t>4000772</t>
  </si>
  <si>
    <t>4000773</t>
  </si>
  <si>
    <t>4000774</t>
  </si>
  <si>
    <t>4000775</t>
  </si>
  <si>
    <t>4000776</t>
  </si>
  <si>
    <t>4000777</t>
  </si>
  <si>
    <t>4000778</t>
  </si>
  <si>
    <t>4000779</t>
  </si>
  <si>
    <t>4000780</t>
  </si>
  <si>
    <t>4000781</t>
  </si>
  <si>
    <t>4000782</t>
  </si>
  <si>
    <t>4000783</t>
  </si>
  <si>
    <t>4000784</t>
  </si>
  <si>
    <t>4000785</t>
  </si>
  <si>
    <t>4000786</t>
  </si>
  <si>
    <t>4000787</t>
  </si>
  <si>
    <t>4000788</t>
  </si>
  <si>
    <t>4000789</t>
  </si>
  <si>
    <t>4000790</t>
  </si>
  <si>
    <t>4000791</t>
  </si>
  <si>
    <t>4000792</t>
  </si>
  <si>
    <t>4000793</t>
  </si>
  <si>
    <t>4000794</t>
  </si>
  <si>
    <t>4000795</t>
  </si>
  <si>
    <t>4000796</t>
  </si>
  <si>
    <t>4000797</t>
  </si>
  <si>
    <t>4000798</t>
  </si>
  <si>
    <t>4000799</t>
  </si>
  <si>
    <t>4000800</t>
  </si>
  <si>
    <t>4000801</t>
  </si>
  <si>
    <t>4000802</t>
  </si>
  <si>
    <t>4000803</t>
  </si>
  <si>
    <t>4000804</t>
  </si>
  <si>
    <t>4000805</t>
  </si>
  <si>
    <t>4000806</t>
  </si>
  <si>
    <t>4000807</t>
  </si>
  <si>
    <t>4000808</t>
  </si>
  <si>
    <t>4000809</t>
  </si>
  <si>
    <t>4000810</t>
  </si>
  <si>
    <t>4000811</t>
  </si>
  <si>
    <t>4000812</t>
  </si>
  <si>
    <t>4000813</t>
  </si>
  <si>
    <t>4000814</t>
  </si>
  <si>
    <t>4000815</t>
  </si>
  <si>
    <t>4000816</t>
  </si>
  <si>
    <t>4000817</t>
  </si>
  <si>
    <t>4000818</t>
  </si>
  <si>
    <t>4000819</t>
  </si>
  <si>
    <t>4000820</t>
  </si>
  <si>
    <t>Type d'ordre</t>
  </si>
  <si>
    <t>PM02</t>
  </si>
  <si>
    <t>PM03</t>
  </si>
  <si>
    <t>PM01</t>
  </si>
  <si>
    <t>PM04</t>
  </si>
  <si>
    <t>Nature</t>
  </si>
  <si>
    <t>Préventif</t>
  </si>
  <si>
    <t>Inspection</t>
  </si>
  <si>
    <t>Correctif</t>
  </si>
  <si>
    <t>Urgence</t>
  </si>
  <si>
    <t>Panne (1/0)</t>
  </si>
  <si>
    <t>Équipement</t>
  </si>
  <si>
    <t>10001031</t>
  </si>
  <si>
    <t>10001041</t>
  </si>
  <si>
    <t>10001090</t>
  </si>
  <si>
    <t>10001002</t>
  </si>
  <si>
    <t>10001021</t>
  </si>
  <si>
    <t>10001040</t>
  </si>
  <si>
    <t>10001060</t>
  </si>
  <si>
    <t>10001011</t>
  </si>
  <si>
    <t>10001110</t>
  </si>
  <si>
    <t>10001020</t>
  </si>
  <si>
    <t>10001030</t>
  </si>
  <si>
    <t>10001001</t>
  </si>
  <si>
    <t>10001051</t>
  </si>
  <si>
    <t>10001080</t>
  </si>
  <si>
    <t>10001010</t>
  </si>
  <si>
    <t>10001121</t>
  </si>
  <si>
    <t>10001032</t>
  </si>
  <si>
    <t>10001070</t>
  </si>
  <si>
    <t>10001120</t>
  </si>
  <si>
    <t>10001100</t>
  </si>
  <si>
    <t>10001081</t>
  </si>
  <si>
    <t>10001050</t>
  </si>
  <si>
    <t>10001022</t>
  </si>
  <si>
    <t>Désignation</t>
  </si>
  <si>
    <t>Convoyeur à bande CV-04</t>
  </si>
  <si>
    <t>Crible vibrant SC-02</t>
  </si>
  <si>
    <t>Pont roulant 20 t</t>
  </si>
  <si>
    <t>Concasseur secondaire à cône</t>
  </si>
  <si>
    <t>Pompe à pulpe P-202</t>
  </si>
  <si>
    <t>Crible vibrant SC-01</t>
  </si>
  <si>
    <t>Épaississeur TH-01</t>
  </si>
  <si>
    <t>Broyeur à boulets n°2</t>
  </si>
  <si>
    <t>Électrolyseur – redresseur RD-01</t>
  </si>
  <si>
    <t>Pompe à pulpe P-201</t>
  </si>
  <si>
    <t>Convoyeur à bande CV-03</t>
  </si>
  <si>
    <t>Concasseur primaire giratoire</t>
  </si>
  <si>
    <t>Cellule de flottation FL-06</t>
  </si>
  <si>
    <t>Compresseur d'air CP-01</t>
  </si>
  <si>
    <t>Broyeur à boulets n°1</t>
  </si>
  <si>
    <t>Tombereau CAT 777 n°12</t>
  </si>
  <si>
    <t>Convoyeur d'alimentation CV-01</t>
  </si>
  <si>
    <t>Filtre presse FP-01</t>
  </si>
  <si>
    <t>Chargeuse sur pneus CAT 988</t>
  </si>
  <si>
    <t>Ventilateur de tirage VT-01</t>
  </si>
  <si>
    <t>Compresseur d'air CP-02</t>
  </si>
  <si>
    <t>Cellule de flottation FL-05</t>
  </si>
  <si>
    <t>Pompe d'eau de procédé P-301</t>
  </si>
  <si>
    <t>Poste technique</t>
  </si>
  <si>
    <t>KV-CNV-004</t>
  </si>
  <si>
    <t>KV-CRI-002</t>
  </si>
  <si>
    <t>KV-PON-001</t>
  </si>
  <si>
    <t>KV-CON-020</t>
  </si>
  <si>
    <t>KV-POM-202</t>
  </si>
  <si>
    <t>KV-CRI-001</t>
  </si>
  <si>
    <t>KV-EPA-001</t>
  </si>
  <si>
    <t>KV-BRO-020</t>
  </si>
  <si>
    <t>KV-ELE-001</t>
  </si>
  <si>
    <t>KV-POM-201</t>
  </si>
  <si>
    <t>KV-CNV-003</t>
  </si>
  <si>
    <t>KV-CON-010</t>
  </si>
  <si>
    <t>KV-FLO-006</t>
  </si>
  <si>
    <t>KV-COM-001</t>
  </si>
  <si>
    <t>KV-BRO-010</t>
  </si>
  <si>
    <t>KV-MOB-777</t>
  </si>
  <si>
    <t>KV-CNV-001</t>
  </si>
  <si>
    <t>KV-FIL-001</t>
  </si>
  <si>
    <t>KV-MOB-988</t>
  </si>
  <si>
    <t>KV-VEN-001</t>
  </si>
  <si>
    <t>KV-COM-002</t>
  </si>
  <si>
    <t>KV-FLO-005</t>
  </si>
  <si>
    <t>KV-POM-301</t>
  </si>
  <si>
    <t>Description</t>
  </si>
  <si>
    <t>Analyse d'huile trimestrielle</t>
  </si>
  <si>
    <t>Visite systématique</t>
  </si>
  <si>
    <t>Ronde d'inspection</t>
  </si>
  <si>
    <t>Graissage hebdomadaire</t>
  </si>
  <si>
    <t>Contrôle ultrasons</t>
  </si>
  <si>
    <t>PM 500h - inspection mensuelle</t>
  </si>
  <si>
    <t>Remplacement filtres huile - préventif</t>
  </si>
  <si>
    <t>vibrations anormales</t>
  </si>
  <si>
    <t>Inspection thermographique</t>
  </si>
  <si>
    <t>Jeu excessif au palier</t>
  </si>
  <si>
    <t>hydraulic hose burst</t>
  </si>
  <si>
    <t>Inspection vibratoire</t>
  </si>
  <si>
    <t>flexible hydraulique éclaté</t>
  </si>
  <si>
    <t>liner wear</t>
  </si>
  <si>
    <t>faulty pressure transmitter</t>
  </si>
  <si>
    <t>RAS après contrôle</t>
  </si>
  <si>
    <t>Bande déchirée</t>
  </si>
  <si>
    <t>claquement au démarrage</t>
  </si>
  <si>
    <t>Contrôle hebdomadaire bande</t>
  </si>
  <si>
    <t>Inspection sécurité</t>
  </si>
  <si>
    <t>chute blocked</t>
  </si>
  <si>
    <t>Alarme température huile</t>
  </si>
  <si>
    <t>Roulement HS côté accouplement</t>
  </si>
  <si>
    <t>dents godet usées</t>
  </si>
  <si>
    <t>température élevée réducteur</t>
  </si>
  <si>
    <t>usure impulseur</t>
  </si>
  <si>
    <t>rouleau bloqué convoyeur</t>
  </si>
  <si>
    <t>soudure cassée</t>
  </si>
  <si>
    <t>remplacement revêtements usés</t>
  </si>
  <si>
    <t>échauffement palier</t>
  </si>
  <si>
    <t>fin de course HS</t>
  </si>
  <si>
    <t>fuite garniture mécanique</t>
  </si>
  <si>
    <t>Fuite au niveau de la garniture</t>
  </si>
  <si>
    <t>usure mâchoires</t>
  </si>
  <si>
    <t>défaut isolement moteur</t>
  </si>
  <si>
    <t>goulotte bouchée</t>
  </si>
  <si>
    <t>machine fait du bruit</t>
  </si>
  <si>
    <t>voir chef de quart</t>
  </si>
  <si>
    <t>à vérifier</t>
  </si>
  <si>
    <t>fuite huile vérin</t>
  </si>
  <si>
    <t>bruit anormal pompe</t>
  </si>
  <si>
    <t>mechanical seal leak</t>
  </si>
  <si>
    <t>racleur usé bande sale</t>
  </si>
  <si>
    <t>high temperature gearbox</t>
  </si>
  <si>
    <t>Bande patine sur tambour</t>
  </si>
  <si>
    <t>distributeur hydraulique HS</t>
  </si>
  <si>
    <t>Bearing failure NDE</t>
  </si>
  <si>
    <t>bourrage goulotte</t>
  </si>
  <si>
    <t>usure blindages</t>
  </si>
  <si>
    <t>fuite pulpe presse-étoupe</t>
  </si>
  <si>
    <t>câble endommagé</t>
  </si>
  <si>
    <t>fissure châssis</t>
  </si>
  <si>
    <t>pression hydraulique basse</t>
  </si>
  <si>
    <t>joint HS fuite eau</t>
  </si>
  <si>
    <t>blocage trémie</t>
  </si>
  <si>
    <t>défaut variateur</t>
  </si>
  <si>
    <t>Fuite importante côté refoulement</t>
  </si>
  <si>
    <t>disjoncteur déclenché</t>
  </si>
  <si>
    <t>belt misalignment</t>
  </si>
  <si>
    <t>rlt chauffe palier</t>
  </si>
  <si>
    <t>niveau huile bas réducteur</t>
  </si>
  <si>
    <t>Défaut moteur électrique</t>
  </si>
  <si>
    <t>Contacteur HS</t>
  </si>
  <si>
    <t>manque graisse</t>
  </si>
  <si>
    <t>vérin de levage bloqué</t>
  </si>
  <si>
    <t>pompe graissage HS</t>
  </si>
  <si>
    <t>désalignement bande</t>
  </si>
  <si>
    <t>chgt rlt côté opposé accouplement</t>
  </si>
  <si>
    <t>défaut lubrification</t>
  </si>
  <si>
    <t>surchauffe moteur</t>
  </si>
  <si>
    <t>bruit roulement palier moteur</t>
  </si>
  <si>
    <t>jonction bande ouverte</t>
  </si>
  <si>
    <t>sonde température HS</t>
  </si>
  <si>
    <t>boulons desserrés</t>
  </si>
  <si>
    <t>excessive vibration</t>
  </si>
  <si>
    <t>fuite garniture mécanique - récidive</t>
  </si>
  <si>
    <t>motor tripped on overload</t>
  </si>
  <si>
    <t>intervention suite appel</t>
  </si>
  <si>
    <t>capteur de niveau défaillant</t>
  </si>
  <si>
    <t>support cassé</t>
  </si>
  <si>
    <t>remplacement roulement palier</t>
  </si>
  <si>
    <t>low oil level</t>
  </si>
  <si>
    <t>Mode de défaillance</t>
  </si>
  <si>
    <t/>
  </si>
  <si>
    <t>Vibrations / Bruit</t>
  </si>
  <si>
    <t>Roulements</t>
  </si>
  <si>
    <t>Hydraulique</t>
  </si>
  <si>
    <t>Usure</t>
  </si>
  <si>
    <t>Instrumentation</t>
  </si>
  <si>
    <t>Autre / Non classé</t>
  </si>
  <si>
    <t>Bande / Convoyeur</t>
  </si>
  <si>
    <t>Bourrage / Obstruction</t>
  </si>
  <si>
    <t>Surchauffe</t>
  </si>
  <si>
    <t>Structure / Fissures</t>
  </si>
  <si>
    <t>Étanchéité / Fuites</t>
  </si>
  <si>
    <t>Électrique</t>
  </si>
  <si>
    <t>Lubrification</t>
  </si>
  <si>
    <t>Source classification</t>
  </si>
  <si>
    <t>Ordre planifié</t>
  </si>
  <si>
    <t>Code SAP</t>
  </si>
  <si>
    <t>Règles mots-clés</t>
  </si>
  <si>
    <t>Non classé</t>
  </si>
  <si>
    <t>Date de création</t>
  </si>
  <si>
    <t>Début panne</t>
  </si>
  <si>
    <t>Fin panne</t>
  </si>
  <si>
    <t>Arrêt (h)</t>
  </si>
  <si>
    <t>Coût (USD)</t>
  </si>
  <si>
    <t>Statut</t>
  </si>
  <si>
    <t>TECO</t>
  </si>
  <si>
    <t>CLSD</t>
  </si>
  <si>
    <t>REL</t>
  </si>
  <si>
    <t>CRTD</t>
  </si>
  <si>
    <t>REL MANC</t>
  </si>
  <si>
    <t>Ouvert (1/0)</t>
  </si>
  <si>
    <t>Priorité</t>
  </si>
  <si>
    <t>3</t>
  </si>
  <si>
    <t>2</t>
  </si>
  <si>
    <t>4</t>
  </si>
  <si>
    <t>1</t>
  </si>
  <si>
    <t>Code dommage</t>
  </si>
  <si>
    <t>VIBR</t>
  </si>
  <si>
    <t>USUR</t>
  </si>
  <si>
    <t>BAND</t>
  </si>
  <si>
    <t>BOUR</t>
  </si>
  <si>
    <t>TEMP</t>
  </si>
  <si>
    <t>INST</t>
  </si>
  <si>
    <t>FUIT</t>
  </si>
  <si>
    <t>ROUL</t>
  </si>
  <si>
    <t>HYDR</t>
  </si>
  <si>
    <t>ELEC</t>
  </si>
  <si>
    <t>STRU</t>
  </si>
  <si>
    <t>LUBR</t>
  </si>
  <si>
    <t>Indicateurs par équipement</t>
  </si>
  <si>
    <t>Durée de la période analysée (h) :</t>
  </si>
  <si>
    <t>← modifiable : MTBF et disponibilité se recalculent</t>
  </si>
  <si>
    <t>Pannes</t>
  </si>
  <si>
    <t>MTTR (h)</t>
  </si>
  <si>
    <t>MTBF (h)</t>
  </si>
  <si>
    <t>Disponibilité</t>
  </si>
  <si>
    <t>Ordres ouverts</t>
  </si>
  <si>
    <t>Mode principal</t>
  </si>
  <si>
    <t>Criticité (0-100)</t>
  </si>
  <si>
    <t>Modes de défaillance (Pareto des pannes)</t>
  </si>
  <si>
    <t>Classement issu des codes dommage SAP, des règles mots-clés et, si activée, de l'IA.</t>
  </si>
  <si>
    <t>Part</t>
  </si>
  <si>
    <t>Part cumulée</t>
  </si>
  <si>
    <t>Équipements touchés</t>
  </si>
  <si>
    <t>Pannes récurrentes</t>
  </si>
  <si>
    <t>Même équipement, même mode de défaillance, au moins 3 fois, avec plusieurs récidives à moins de 30 jours.</t>
  </si>
  <si>
    <t>Occurrences</t>
  </si>
  <si>
    <t>Récidives &lt; 30 j</t>
  </si>
  <si>
    <t>Intervalle moyen (j)</t>
  </si>
  <si>
    <t>Dernière panne</t>
  </si>
  <si>
    <t>Exemples de descriptions</t>
  </si>
  <si>
    <t>fuite garniture mécanique | Fuite au niveau de la garniture | mechanical seal leak</t>
  </si>
  <si>
    <t>Bande déchirée | RAS après contrôle | racleur usé bande sale</t>
  </si>
  <si>
    <t>machine fait du bruit | bruit anormal pompe | excessive vibration</t>
  </si>
  <si>
    <t>disjoncteur déclenché | Défaut moteur électrique | Contacteur HS</t>
  </si>
  <si>
    <t>vibrations anormales | claquement au démarrage | machine fait du bruit</t>
  </si>
  <si>
    <t>vibrations anormales | bruit anormal pompe | claquement au démarrage</t>
  </si>
  <si>
    <t>niveau huile bas réducteur | pompe graissage HS | défaut lubrification</t>
  </si>
  <si>
    <t>Alarme température huile | température élevée réducteur | échauffement palier</t>
  </si>
  <si>
    <t>fuite pulpe presse-étoupe | joint HS fuite eau | Fuite importante côté refoulement</t>
  </si>
  <si>
    <t>Tendance mensuelle</t>
  </si>
  <si>
    <t>Mois</t>
  </si>
  <si>
    <t>Ordres</t>
  </si>
  <si>
    <t>Ordres planifiés</t>
  </si>
  <si>
    <t>Part planifiée</t>
  </si>
  <si>
    <t>Ordres ouverts (backlog)</t>
  </si>
  <si>
    <t>Situation au 31/08/2026 (dernier jour de l'export). En retard = date de début de base (IW39 « Bsc start ») dépassée.</t>
  </si>
  <si>
    <t>Ancienneté</t>
  </si>
  <si>
    <t>0–7 j</t>
  </si>
  <si>
    <t>8–30 j</t>
  </si>
  <si>
    <t>31–90 j</t>
  </si>
  <si>
    <t>&gt; 90 j</t>
  </si>
  <si>
    <t>Poste de travail principal</t>
  </si>
  <si>
    <t>Ouverts</t>
  </si>
  <si>
    <t>En retard</t>
  </si>
  <si>
    <t>Priorité 1-2</t>
  </si>
  <si>
    <t>Retard max (j)</t>
  </si>
  <si>
    <t>MECA-01</t>
  </si>
  <si>
    <t>MECA-MAN</t>
  </si>
  <si>
    <t>MECA-HYD</t>
  </si>
  <si>
    <t>MECA-UTI</t>
  </si>
  <si>
    <t>ELEC-01</t>
  </si>
  <si>
    <t>MECA-BRO</t>
  </si>
  <si>
    <t>MECA-CON</t>
  </si>
  <si>
    <t>MECA-MOB</t>
  </si>
  <si>
    <t>Type</t>
  </si>
  <si>
    <t>Poste de travail</t>
  </si>
  <si>
    <t>Créé le</t>
  </si>
  <si>
    <t>Début de base</t>
  </si>
  <si>
    <t>Retard (j)</t>
  </si>
  <si>
    <t>Âge (j)</t>
  </si>
  <si>
    <t>Qualité des données</t>
  </si>
  <si>
    <t>Des données incomplètes produisent des analyses fausses mais convaincantes : à lire avant les conclusions.</t>
  </si>
  <si>
    <t>Score de qualité (0-100)</t>
  </si>
  <si>
    <t>Contrôle</t>
  </si>
  <si>
    <t>Nombre</t>
  </si>
  <si>
    <t>Ordres lus</t>
  </si>
  <si>
    <t>Ordres en double (retirés de l'analyse)</t>
  </si>
  <si>
    <t>Ordres sans date de création</t>
  </si>
  <si>
    <t>Pannes sans code dommage SAP</t>
  </si>
  <si>
    <t>Pannes sans date de fin de panne</t>
  </si>
  <si>
    <t>Durées négatives (fin avant début, ignorées)</t>
  </si>
  <si>
    <t>Pannes non classées (texte trop vague)</t>
  </si>
  <si>
    <t>Méthode et définitions</t>
  </si>
  <si>
    <t>Panne</t>
  </si>
  <si>
    <t>Ordre de type correctif ou urgence (par défaut PM01 / PM04, paramétrable).</t>
  </si>
  <si>
    <t>Fin panne − début panne, pour les ordres marqués « Arrêt machine ». Les durées négatives sont ignorées.</t>
  </si>
  <si>
    <t>MTTR</t>
  </si>
  <si>
    <t>Mean Time To Repair : heures d'arrêt / nombre de pannes ayant causé un arrêt.</t>
  </si>
  <si>
    <t>MTBF</t>
  </si>
  <si>
    <t>Mean Time Between Failures : (durée de la période − heures d'arrêt) / nombre de pannes.</t>
  </si>
  <si>
    <t>(Durée de la période − heures d'arrêt) / durée de la période.</t>
  </si>
  <si>
    <t>Ordres préventifs + inspections / total des ordres. Référence courante : ~80 %.</t>
  </si>
  <si>
    <t>Criticité</t>
  </si>
  <si>
    <t>Moyenne des parts de l'équipement dans le total des arrêts, des pannes et des coûts ; 100 = équipement le plus pénalisant.</t>
  </si>
  <si>
    <t>Ordre en retard</t>
  </si>
  <si>
    <t>Ordre ouvert dont la date de début de base (IW39 « Bsc start date ») est dépassée au dernier jour de l'export.</t>
  </si>
  <si>
    <t>Panne récurrente</t>
  </si>
  <si>
    <t>Même équipement et même mode de défaillance, au moins 3 occurrences, dont au moins 2 récidives à moins de 30 jours.</t>
  </si>
  <si>
    <t>Classification</t>
  </si>
  <si>
    <t>1) code dommage SAP s'il est reconnu ; 2) règles mots-clés FR/EN sur le texte libre ; 3) IA (Claude ou modèle OpenRouter) pour les textes restants, si activée.</t>
  </si>
  <si>
    <t>Rôle de l'IA</t>
  </si>
  <si>
    <t>L'IA ne calcule aucun indicateur. Elle classe les textes et rédige l'analyse à partir des chiffres calculés ici. Les recommandations doivent être validées par un ingénieur.</t>
  </si>
  <si>
    <t>Source</t>
  </si>
  <si>
    <t>exemple_export_sap_pm.xlsx — période du 01/09/2025 au 31/08/2026.</t>
  </si>
  <si>
    <t>Analyse maintenance SAP PM</t>
  </si>
  <si>
    <t>Période du 01/09/2025 au 31/08/2026  ·  exemple_export_sap_pm.xlsx  ·  généré le 29/10/2026 09:42</t>
  </si>
  <si>
    <t>Ordres analysés</t>
  </si>
  <si>
    <t>Heures d'arrêt</t>
  </si>
  <si>
    <t>Coût total (USD)</t>
  </si>
  <si>
    <t>MTTR moyen</t>
  </si>
  <si>
    <t>Disponibilité moyenne</t>
  </si>
  <si>
    <t>Part de travail planifié</t>
  </si>
  <si>
    <t>Résumé</t>
  </si>
  <si>
    <t>Analyse automatique (règles) — activez l'IA pour une analyse rédigée</t>
  </si>
  <si>
    <t>Sur 365 jours, 202 pannes ont causé 976 h d'arrêt sur 23 équipements (MTTR moyen 6.7 h). Les pertes sont concentrées : les 3 premiers équipements représentent 31% des arrêts. 9 pannes récurrentes ont été détectées, en priorité étanchéité / fuites sur Pompe à pulpe P-201.</t>
  </si>
  <si>
    <t>Constats clés</t>
  </si>
  <si>
    <t>•  3 équipements concentrent 31% des heures d'arrêt : Concasseur primaire giratoire (106 h), Pompe à pulpe P-201 (100 h), Broyeur à boulets n°1 (93 h).</t>
  </si>
  <si>
    <t>•  Premier mode de défaillance : Étanchéité / Fuites (30 pannes, 15% du total).</t>
  </si>
  <si>
    <t>•  Panne récurrente la plus marquée : Étanchéité / Fuites sur Pompe à pulpe P-201, 21 fois (intervalle moyen 15 jours).</t>
  </si>
  <si>
    <t>•  Travail planifié (préventif + inspection) : 75% des ordres (référence courante : 80%).</t>
  </si>
  <si>
    <t>•  52 ordres ouverts sur 74 sont en retard (date de début de base dépassée), dont 14 au poste de travail MECA-01.</t>
  </si>
  <si>
    <t>Recommandations priorisées</t>
  </si>
  <si>
    <t>Équipement / périmètre</t>
  </si>
  <si>
    <t>Action recommandée</t>
  </si>
  <si>
    <t>Justification (données)</t>
  </si>
  <si>
    <t>Haute</t>
  </si>
  <si>
    <t>Lancer une analyse des causes racines (RCA) sur le mode « Bourrage / Obstruction ».</t>
  </si>
  <si>
    <t>16 pannes, 106 h d'arrêt, MTTR 7.6 h, coût 168 319 $ sur la période.</t>
  </si>
  <si>
    <t>Lancer une analyse des causes racines (RCA) sur le mode « Étanchéité / Fuites ».</t>
  </si>
  <si>
    <t>35 pannes, 100 h d'arrêt, MTTR 4.5 h, coût 88 832 $ sur la période.</t>
  </si>
  <si>
    <t>Lancer une analyse des causes racines (RCA) sur le mode « Lubrification ».</t>
  </si>
  <si>
    <t>9 pannes, 93 h d'arrêt, MTTR 13.2 h, coût 206 840 $ sur la période.</t>
  </si>
  <si>
    <t>Revoir le plan préventif pour « Bande / Convoyeur » : inspection tous les 18 jours environ, et vérifier la qualité des pièces / du montage.</t>
  </si>
  <si>
    <t>12 occurrences, dont 7 à moins de 30 jours d'écart (intervalle moyen 31 j).</t>
  </si>
  <si>
    <t>Revoir le plan préventif pour « Vibrations / Bruit » : inspection tous les 27 jours environ, et vérifier la qualité des pièces / du montage.</t>
  </si>
  <si>
    <t>7 occurrences, dont 2 à moins de 30 jours d'écart (intervalle moyen 46 j).</t>
  </si>
  <si>
    <t>Revoir le plan préventif pour « Électrique » : inspection tous les 24 jours environ, et vérifier la qualité des pièces / du montage.</t>
  </si>
  <si>
    <t>6 occurrences, dont 3 à moins de 30 jours d'écart (intervalle moyen 40 j).</t>
  </si>
  <si>
    <t>Moyenne</t>
  </si>
  <si>
    <t>Ensemble du site</t>
  </si>
  <si>
    <t>Augmenter la part de maintenance planifiée, en priorité sur les équipements critiques ci-dessus.</t>
  </si>
  <si>
    <t>75% de travail planifié contre une référence de 80%.</t>
  </si>
  <si>
    <t>Planification — postes MECA-01, MECA-MAN, MECA-HYD</t>
  </si>
  <si>
    <t>Revue hebdomadaire des ordres en retard par poste de travail : réaliser, replanifier ou clôturer (TECO).</t>
  </si>
  <si>
    <t>52 ordres en retard, surtout : MECA-01 (14), MECA-MAN (11), MECA-HYD (7). 31 ordres sont ouverts depuis plus de 30 jours.</t>
  </si>
  <si>
    <t>Basse</t>
  </si>
  <si>
    <t>Saisie SAP</t>
  </si>
  <si>
    <t>Rendre le code dommage obligatoire à la clôture des avis de panne.</t>
  </si>
  <si>
    <t>63% des pannes n'ont pas de code dommage : la classification repose sur le texte libre.</t>
  </si>
  <si>
    <t>Les recommandations sont des aides à la décision : elles doivent être validées par l'ingénieur maintenance avant toute action. Détails et définitions dans l'onglet « Méthode ».</t>
  </si>
</sst>
</file>

<file path=xl/styles.xml><?xml version="1.0" encoding="utf-8"?>
<styleSheet xmlns="http://schemas.openxmlformats.org/spreadsheetml/2006/main">
  <numFmts count="9">
    <numFmt numFmtId="164" formatCode="#,##0"/>
    <numFmt numFmtId="165" formatCode="#,##0&quot; h&quot;"/>
    <numFmt numFmtId="166" formatCode="#,##0&quot; $&quot;"/>
    <numFmt numFmtId="167" formatCode="#,##0.0&quot; h&quot;"/>
    <numFmt numFmtId="168" formatCode="0.0%"/>
    <numFmt numFmtId="169" formatCode="#,##0.0"/>
    <numFmt numFmtId="170" formatCode="dd/mm/yyyy"/>
    <numFmt numFmtId="171" formatCode="mmm yyyy"/>
    <numFmt numFmtId="172" formatCode="dd/mm/yyyy hh:mm"/>
  </numFmts>
  <fonts count="14">
    <font>
      <sz val="11"/>
      <color theme="1"/>
      <name val="Calibri"/>
      <family val="2"/>
      <scheme val="minor"/>
    </font>
    <font>
      <b/>
      <sz val="20"/>
      <color rgb="FF1F3A5F"/>
      <name val="Arial"/>
      <family val="2"/>
    </font>
    <font>
      <sz val="10"/>
      <color rgb="FF6B7280"/>
      <name val="Arial"/>
      <family val="2"/>
    </font>
    <font>
      <sz val="9"/>
      <color rgb="FF6B7280"/>
      <name val="Arial"/>
      <family val="2"/>
    </font>
    <font>
      <b/>
      <sz val="18"/>
      <color rgb="FF1F3A5F"/>
      <name val="Arial"/>
      <family val="2"/>
    </font>
    <font>
      <b/>
      <sz val="13"/>
      <color rgb="FF1F3A5F"/>
      <name val="Arial"/>
      <family val="2"/>
    </font>
    <font>
      <i/>
      <sz val="9"/>
      <color rgb="FF6B728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9B1C1C"/>
      <name val="Arial"/>
      <family val="2"/>
    </font>
    <font>
      <b/>
      <sz val="10"/>
      <color rgb="FF8A5300"/>
      <name val="Arial"/>
      <family val="2"/>
    </font>
    <font>
      <b/>
      <sz val="10"/>
      <color rgb="FF1E5631"/>
      <name val="Arial"/>
      <family val="2"/>
    </font>
    <font>
      <b/>
      <sz val="10"/>
      <color theme="1"/>
      <name val="Arial"/>
      <family val="2"/>
    </font>
    <font>
      <b/>
      <sz val="10"/>
      <color rgb="FF1F3A5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EF3F9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DE2E1"/>
        <bgColor indexed="64"/>
      </patternFill>
    </fill>
    <fill>
      <patternFill patternType="solid">
        <fgColor rgb="FFFEF0C7"/>
        <bgColor indexed="64"/>
      </patternFill>
    </fill>
    <fill>
      <patternFill patternType="solid">
        <fgColor rgb="FFDCF2E3"/>
        <bgColor indexed="64"/>
      </patternFill>
    </fill>
    <fill>
      <patternFill patternType="solid">
        <fgColor rgb="FFFFF4CC"/>
        <bgColor indexed="64"/>
      </patternFill>
    </fill>
  </fills>
  <borders count="6">
    <border>
      <left/>
      <right/>
      <top/>
      <bottom/>
      <diagonal/>
    </border>
    <border>
      <left style="dotted">
        <color rgb="FF2A78D6"/>
      </left>
      <right/>
      <top/>
      <bottom/>
      <diagonal/>
    </border>
    <border>
      <left/>
      <right/>
      <top/>
      <bottom style="medium">
        <color rgb="FF2A78D6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top" indent="1" wrapText="1"/>
    </xf>
    <xf numFmtId="164" fontId="4" fillId="2" borderId="1" xfId="0" applyNumberFormat="1" applyFont="1" applyFill="1" applyBorder="1" applyAlignment="1">
      <alignment horizontal="left" vertical="center" indent="1"/>
    </xf>
    <xf numFmtId="165" fontId="4" fillId="2" borderId="1" xfId="0" applyNumberFormat="1" applyFont="1" applyFill="1" applyBorder="1" applyAlignment="1">
      <alignment horizontal="left" vertical="center" indent="1"/>
    </xf>
    <xf numFmtId="166" fontId="4" fillId="2" borderId="1" xfId="0" applyNumberFormat="1" applyFont="1" applyFill="1" applyBorder="1" applyAlignment="1">
      <alignment horizontal="left" vertical="center" indent="1"/>
    </xf>
    <xf numFmtId="167" fontId="4" fillId="2" borderId="1" xfId="0" applyNumberFormat="1" applyFont="1" applyFill="1" applyBorder="1" applyAlignment="1">
      <alignment horizontal="left" vertical="center" indent="1"/>
    </xf>
    <xf numFmtId="168" fontId="4" fillId="2" borderId="1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3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top" wrapText="1"/>
    </xf>
    <xf numFmtId="0" fontId="10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64" fontId="12" fillId="7" borderId="5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164" fontId="7" fillId="0" borderId="4" xfId="0" applyNumberFormat="1" applyFont="1" applyBorder="1" applyAlignment="1">
      <alignment vertical="center"/>
    </xf>
    <xf numFmtId="169" fontId="7" fillId="0" borderId="4" xfId="0" applyNumberFormat="1" applyFont="1" applyBorder="1" applyAlignment="1">
      <alignment vertical="center"/>
    </xf>
    <xf numFmtId="168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vertical="center"/>
    </xf>
    <xf numFmtId="171" fontId="7" fillId="0" borderId="4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vertical="center"/>
    </xf>
    <xf numFmtId="0" fontId="13" fillId="0" borderId="0" xfId="0" applyFont="1" applyAlignment="1">
      <alignment vertical="top"/>
    </xf>
  </cellXfs>
  <cellStyles count="1">
    <cellStyle name="Normal" xfId="0" builtinId="0"/>
  </cellStyles>
  <dxfs count="1">
    <dxf>
      <font>
        <b/>
        <color rgb="FF9B1C1C"/>
      </font>
      <fill>
        <patternFill>
          <bgColor rgb="FFFDE2E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F3A5F"/>
                </a:solidFill>
                <a:latin typeface="Arial"/>
              </a:defRPr>
            </a:pPr>
            <a:r>
              <a:rPr lang="en-US" sz="1200" baseline="0">
                <a:solidFill>
                  <a:srgbClr val="1F3A5F"/>
                </a:solidFill>
                <a:latin typeface="Arial"/>
              </a:rPr>
              <a:t>Nombre de pannes par mode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Pannes</c:v>
          </c:tx>
          <c:spPr>
            <a:solidFill>
              <a:srgbClr val="2A78D6"/>
            </a:solidFill>
          </c:spPr>
          <c:dLbls>
            <c:txPr>
              <a:bodyPr/>
              <a:lstStyle/>
              <a:p>
                <a:pPr>
                  <a:defRPr sz="800" baseline="0">
                    <a:solidFill>
                      <a:srgbClr val="6B7280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'Modes de défaillance'!$A$5:$A$17</c:f>
              <c:strCache>
                <c:ptCount val="13"/>
                <c:pt idx="0">
                  <c:v>Étanchéité / Fuites</c:v>
                </c:pt>
                <c:pt idx="1">
                  <c:v>Usure</c:v>
                </c:pt>
                <c:pt idx="2">
                  <c:v>Vibrations / Bruit</c:v>
                </c:pt>
                <c:pt idx="3">
                  <c:v>Roulements</c:v>
                </c:pt>
                <c:pt idx="4">
                  <c:v>Électrique</c:v>
                </c:pt>
                <c:pt idx="5">
                  <c:v>Surchauffe</c:v>
                </c:pt>
                <c:pt idx="6">
                  <c:v>Bande / Convoyeur</c:v>
                </c:pt>
                <c:pt idx="7">
                  <c:v>Bourrage / Obstruction</c:v>
                </c:pt>
                <c:pt idx="8">
                  <c:v>Hydraulique</c:v>
                </c:pt>
                <c:pt idx="9">
                  <c:v>Lubrification</c:v>
                </c:pt>
                <c:pt idx="10">
                  <c:v>Structure / Fissures</c:v>
                </c:pt>
                <c:pt idx="11">
                  <c:v>Autre / Non classé</c:v>
                </c:pt>
                <c:pt idx="12">
                  <c:v>Instrumentation</c:v>
                </c:pt>
              </c:strCache>
            </c:strRef>
          </c:cat>
          <c:val>
            <c:numRef>
              <c:f>'Modes de défaillance'!$B$5:$B$17</c:f>
              <c:numCache>
                <c:formatCode>General</c:formatCode>
                <c:ptCount val="13"/>
                <c:pt idx="0">
                  <c:v>30</c:v>
                </c:pt>
                <c:pt idx="1">
                  <c:v>25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18</c:v>
                </c:pt>
                <c:pt idx="6">
                  <c:v>15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F3A5F"/>
                </a:solidFill>
                <a:latin typeface="Arial"/>
              </a:defRPr>
            </a:pPr>
            <a:r>
              <a:rPr lang="en-US" sz="1200" baseline="0">
                <a:solidFill>
                  <a:srgbClr val="1F3A5F"/>
                </a:solidFill>
                <a:latin typeface="Arial"/>
              </a:rPr>
              <a:t>Pannes par mois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Pannes par mois</c:v>
          </c:tx>
          <c:spPr>
            <a:solidFill>
              <a:srgbClr val="2A78D6"/>
            </a:solidFill>
          </c:spPr>
          <c:cat>
            <c:numRef>
              <c:f>Tendance!$A$4:$A$15</c:f>
              <c:numCache>
                <c:formatCode>General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Tendance!$C$4:$C$15</c:f>
              <c:numCache>
                <c:formatCode>General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24</c:v>
                </c:pt>
                <c:pt idx="6">
                  <c:v>17</c:v>
                </c:pt>
                <c:pt idx="7">
                  <c:v>13</c:v>
                </c:pt>
                <c:pt idx="8">
                  <c:v>15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b"/>
        <c:numFmt formatCode="mmm yy" sourceLinked="0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F3A5F"/>
                </a:solidFill>
                <a:latin typeface="Arial"/>
              </a:defRPr>
            </a:pPr>
            <a:r>
              <a:rPr lang="en-US" sz="1200" baseline="0">
                <a:solidFill>
                  <a:srgbClr val="1F3A5F"/>
                </a:solidFill>
                <a:latin typeface="Arial"/>
              </a:rPr>
              <a:t>Heures d'arrêt par mois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Heures d'arrêt par mois</c:v>
          </c:tx>
          <c:spPr>
            <a:solidFill>
              <a:srgbClr val="EB6834"/>
            </a:solidFill>
          </c:spPr>
          <c:cat>
            <c:numRef>
              <c:f>Tendance!$A$4:$A$15</c:f>
              <c:numCache>
                <c:formatCode>General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Tendance!$F$4:$F$15</c:f>
              <c:numCache>
                <c:formatCode>General</c:formatCode>
                <c:ptCount val="12"/>
                <c:pt idx="0">
                  <c:v>41.2</c:v>
                </c:pt>
                <c:pt idx="1">
                  <c:v>41.18</c:v>
                </c:pt>
                <c:pt idx="2">
                  <c:v>53.5</c:v>
                </c:pt>
                <c:pt idx="3">
                  <c:v>73.59999999999999</c:v>
                </c:pt>
                <c:pt idx="4">
                  <c:v>123.4</c:v>
                </c:pt>
                <c:pt idx="5">
                  <c:v>112.5</c:v>
                </c:pt>
                <c:pt idx="6">
                  <c:v>69.10000000000001</c:v>
                </c:pt>
                <c:pt idx="7">
                  <c:v>52.9</c:v>
                </c:pt>
                <c:pt idx="8">
                  <c:v>65.97999999999999</c:v>
                </c:pt>
                <c:pt idx="9">
                  <c:v>103.5</c:v>
                </c:pt>
                <c:pt idx="10">
                  <c:v>100.5</c:v>
                </c:pt>
                <c:pt idx="11">
                  <c:v>138.6</c:v>
                </c:pt>
              </c:numCache>
            </c:numRef>
          </c:val>
        </c:ser>
        <c:gapWidth val="80"/>
        <c:axId val="50030001"/>
        <c:axId val="50030002"/>
      </c:barChart>
      <c:catAx>
        <c:axId val="50030001"/>
        <c:scaling>
          <c:orientation val="minMax"/>
        </c:scaling>
        <c:axPos val="b"/>
        <c:numFmt formatCode="mmm yy" sourceLinked="0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419100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419100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17</xdr:col>
      <xdr:colOff>419100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34"/>
  <sheetViews>
    <sheetView showGridLines="0" tabSelected="1" zoomScale="90" zoomScaleNormal="90" workbookViewId="0"/>
  </sheetViews>
  <sheetFormatPr defaultRowHeight="15"/>
  <cols>
    <col min="1" max="1" width="2.7109375" customWidth="1"/>
    <col min="2" max="9" width="17.7109375" customWidth="1"/>
  </cols>
  <sheetData>
    <row r="1" spans="2:9" ht="30" customHeight="1">
      <c r="B1" s="1" t="s">
        <v>1134</v>
      </c>
    </row>
    <row r="2" spans="2:9">
      <c r="B2" s="2" t="s">
        <v>1135</v>
      </c>
    </row>
    <row r="4" spans="2:9">
      <c r="B4" s="3" t="s">
        <v>1136</v>
      </c>
      <c r="C4" s="3"/>
      <c r="D4" s="3" t="s">
        <v>1041</v>
      </c>
      <c r="E4" s="3"/>
      <c r="F4" s="3" t="s">
        <v>1137</v>
      </c>
      <c r="G4" s="3"/>
      <c r="H4" s="3" t="s">
        <v>1138</v>
      </c>
      <c r="I4" s="3"/>
    </row>
    <row r="5" spans="2:9" ht="30" customHeight="1">
      <c r="B5" s="4">
        <f>COUNTA('Données'!$A$2:$A$822)</f>
        <v>821</v>
      </c>
      <c r="C5" s="4"/>
      <c r="D5" s="4">
        <f>SUM('Équipements'!$D$5:$D$27)</f>
        <v>202</v>
      </c>
      <c r="E5" s="4"/>
      <c r="F5" s="5">
        <f>SUM('Équipements'!$E$5:$E$27)</f>
        <v>975.96</v>
      </c>
      <c r="G5" s="5"/>
      <c r="H5" s="6">
        <f>SUM('Données'!$O$2:$O$822)</f>
        <v>1454326.7200000002</v>
      </c>
      <c r="I5" s="6"/>
    </row>
    <row r="7" spans="2:9">
      <c r="B7" s="3" t="s">
        <v>1139</v>
      </c>
      <c r="C7" s="3"/>
      <c r="D7" s="3" t="s">
        <v>1140</v>
      </c>
      <c r="E7" s="3"/>
      <c r="F7" s="3" t="s">
        <v>1141</v>
      </c>
      <c r="G7" s="3"/>
      <c r="H7" s="3" t="s">
        <v>1045</v>
      </c>
      <c r="I7" s="3"/>
    </row>
    <row r="8" spans="2:9" ht="30" customHeight="1">
      <c r="B8" s="7">
        <f>IFERROR(SUM('Équipements'!$E$5:$E$27)/COUNTIFS('Données'!$D$2:$D$822,1,'Données'!$N$2:$N$822,"&gt;0"),0)</f>
        <v>6.730758620689655</v>
      </c>
      <c r="C8" s="7"/>
      <c r="D8" s="8">
        <f>1-SUM('Équipements'!$E$5:$E$27)/('Équipements'!$D$2*COUNTA('Équipements'!$A$5:$A$27))</f>
        <v>0.9951560452650388</v>
      </c>
      <c r="E8" s="8"/>
      <c r="F8" s="8">
        <f>(COUNTIFS('Données'!$C$2:$C$822,"Inspection")+COUNTIFS('Données'!$C$2:$C$822,"Préventif"))/COUNTA('Données'!$A$2:$A$822)</f>
        <v>0.7539585870889159</v>
      </c>
      <c r="G8" s="8"/>
      <c r="H8" s="4">
        <f>SUM('Données'!$Q$2:$Q$822)</f>
        <v>74</v>
      </c>
      <c r="I8" s="4"/>
    </row>
    <row r="11" spans="2:9">
      <c r="B11" s="9" t="s">
        <v>1142</v>
      </c>
      <c r="C11" s="9"/>
      <c r="D11" s="9"/>
      <c r="E11" s="9"/>
      <c r="F11" s="9"/>
      <c r="G11" s="9"/>
      <c r="H11" s="9"/>
      <c r="I11" s="9"/>
    </row>
    <row r="12" spans="2:9">
      <c r="B12" s="10" t="s">
        <v>1143</v>
      </c>
      <c r="C12" s="10"/>
      <c r="D12" s="10"/>
      <c r="E12" s="10"/>
      <c r="F12" s="10"/>
      <c r="G12" s="10"/>
      <c r="H12" s="10"/>
      <c r="I12" s="10"/>
    </row>
    <row r="13" spans="2:9" ht="45" customHeight="1">
      <c r="B13" s="11" t="s">
        <v>1144</v>
      </c>
      <c r="C13" s="11"/>
      <c r="D13" s="11"/>
      <c r="E13" s="11"/>
      <c r="F13" s="11"/>
      <c r="G13" s="11"/>
      <c r="H13" s="11"/>
      <c r="I13" s="11"/>
    </row>
    <row r="15" spans="2:9">
      <c r="B15" s="9" t="s">
        <v>1145</v>
      </c>
      <c r="C15" s="9"/>
      <c r="D15" s="9"/>
      <c r="E15" s="9"/>
      <c r="F15" s="9"/>
      <c r="G15" s="9"/>
      <c r="H15" s="9"/>
      <c r="I15" s="9"/>
    </row>
    <row r="16" spans="2:9" ht="30" customHeight="1">
      <c r="B16" s="11" t="s">
        <v>1146</v>
      </c>
      <c r="C16" s="11"/>
      <c r="D16" s="11"/>
      <c r="E16" s="11"/>
      <c r="F16" s="11"/>
      <c r="G16" s="11"/>
      <c r="H16" s="11"/>
      <c r="I16" s="11"/>
    </row>
    <row r="17" spans="2:9" ht="18" customHeight="1">
      <c r="B17" s="11" t="s">
        <v>1147</v>
      </c>
      <c r="C17" s="11"/>
      <c r="D17" s="11"/>
      <c r="E17" s="11"/>
      <c r="F17" s="11"/>
      <c r="G17" s="11"/>
      <c r="H17" s="11"/>
      <c r="I17" s="11"/>
    </row>
    <row r="18" spans="2:9" ht="18" customHeight="1">
      <c r="B18" s="11" t="s">
        <v>1148</v>
      </c>
      <c r="C18" s="11"/>
      <c r="D18" s="11"/>
      <c r="E18" s="11"/>
      <c r="F18" s="11"/>
      <c r="G18" s="11"/>
      <c r="H18" s="11"/>
      <c r="I18" s="11"/>
    </row>
    <row r="19" spans="2:9" ht="18" customHeight="1">
      <c r="B19" s="11" t="s">
        <v>1149</v>
      </c>
      <c r="C19" s="11"/>
      <c r="D19" s="11"/>
      <c r="E19" s="11"/>
      <c r="F19" s="11"/>
      <c r="G19" s="11"/>
      <c r="H19" s="11"/>
      <c r="I19" s="11"/>
    </row>
    <row r="20" spans="2:9" ht="18" customHeight="1">
      <c r="B20" s="11" t="s">
        <v>1150</v>
      </c>
      <c r="C20" s="11"/>
      <c r="D20" s="11"/>
      <c r="E20" s="11"/>
      <c r="F20" s="11"/>
      <c r="G20" s="11"/>
      <c r="H20" s="11"/>
      <c r="I20" s="11"/>
    </row>
    <row r="22" spans="2:9">
      <c r="B22" s="9" t="s">
        <v>1151</v>
      </c>
      <c r="C22" s="9"/>
      <c r="D22" s="9"/>
      <c r="E22" s="9"/>
      <c r="F22" s="9"/>
      <c r="G22" s="9"/>
      <c r="H22" s="9"/>
      <c r="I22" s="9"/>
    </row>
    <row r="23" spans="2:9">
      <c r="B23" s="12" t="s">
        <v>1020</v>
      </c>
      <c r="C23" s="12" t="s">
        <v>1152</v>
      </c>
      <c r="D23" s="12"/>
      <c r="E23" s="12" t="s">
        <v>1153</v>
      </c>
      <c r="F23" s="12"/>
      <c r="G23" s="12"/>
      <c r="H23" s="12" t="s">
        <v>1154</v>
      </c>
      <c r="I23" s="12"/>
    </row>
    <row r="24" spans="2:9" ht="30" customHeight="1">
      <c r="B24" s="13" t="s">
        <v>1155</v>
      </c>
      <c r="C24" s="14" t="s">
        <v>869</v>
      </c>
      <c r="D24" s="14"/>
      <c r="E24" s="14" t="s">
        <v>1156</v>
      </c>
      <c r="F24" s="14"/>
      <c r="G24" s="14"/>
      <c r="H24" s="14" t="s">
        <v>1157</v>
      </c>
      <c r="I24" s="14"/>
    </row>
    <row r="25" spans="2:9" ht="30" customHeight="1">
      <c r="B25" s="13" t="s">
        <v>1155</v>
      </c>
      <c r="C25" s="14" t="s">
        <v>867</v>
      </c>
      <c r="D25" s="14"/>
      <c r="E25" s="14" t="s">
        <v>1158</v>
      </c>
      <c r="F25" s="14"/>
      <c r="G25" s="14"/>
      <c r="H25" s="14" t="s">
        <v>1159</v>
      </c>
      <c r="I25" s="14"/>
    </row>
    <row r="26" spans="2:9" ht="30" customHeight="1">
      <c r="B26" s="13" t="s">
        <v>1155</v>
      </c>
      <c r="C26" s="14" t="s">
        <v>872</v>
      </c>
      <c r="D26" s="14"/>
      <c r="E26" s="14" t="s">
        <v>1160</v>
      </c>
      <c r="F26" s="14"/>
      <c r="G26" s="14"/>
      <c r="H26" s="14" t="s">
        <v>1161</v>
      </c>
      <c r="I26" s="14"/>
    </row>
    <row r="27" spans="2:9" ht="42" customHeight="1">
      <c r="B27" s="13" t="s">
        <v>1155</v>
      </c>
      <c r="C27" s="14" t="s">
        <v>868</v>
      </c>
      <c r="D27" s="14"/>
      <c r="E27" s="14" t="s">
        <v>1162</v>
      </c>
      <c r="F27" s="14"/>
      <c r="G27" s="14"/>
      <c r="H27" s="14" t="s">
        <v>1163</v>
      </c>
      <c r="I27" s="14"/>
    </row>
    <row r="28" spans="2:9" ht="42" customHeight="1">
      <c r="B28" s="13" t="s">
        <v>1155</v>
      </c>
      <c r="C28" s="14" t="s">
        <v>863</v>
      </c>
      <c r="D28" s="14"/>
      <c r="E28" s="14" t="s">
        <v>1164</v>
      </c>
      <c r="F28" s="14"/>
      <c r="G28" s="14"/>
      <c r="H28" s="14" t="s">
        <v>1165</v>
      </c>
      <c r="I28" s="14"/>
    </row>
    <row r="29" spans="2:9" ht="42" customHeight="1">
      <c r="B29" s="13" t="s">
        <v>1155</v>
      </c>
      <c r="C29" s="14" t="s">
        <v>866</v>
      </c>
      <c r="D29" s="14"/>
      <c r="E29" s="14" t="s">
        <v>1166</v>
      </c>
      <c r="F29" s="14"/>
      <c r="G29" s="14"/>
      <c r="H29" s="14" t="s">
        <v>1167</v>
      </c>
      <c r="I29" s="14"/>
    </row>
    <row r="30" spans="2:9" ht="30" customHeight="1">
      <c r="B30" s="15" t="s">
        <v>1168</v>
      </c>
      <c r="C30" s="14" t="s">
        <v>1169</v>
      </c>
      <c r="D30" s="14"/>
      <c r="E30" s="14" t="s">
        <v>1170</v>
      </c>
      <c r="F30" s="14"/>
      <c r="G30" s="14"/>
      <c r="H30" s="14" t="s">
        <v>1171</v>
      </c>
      <c r="I30" s="14"/>
    </row>
    <row r="31" spans="2:9" ht="56" customHeight="1">
      <c r="B31" s="15" t="s">
        <v>1168</v>
      </c>
      <c r="C31" s="14" t="s">
        <v>1172</v>
      </c>
      <c r="D31" s="14"/>
      <c r="E31" s="14" t="s">
        <v>1173</v>
      </c>
      <c r="F31" s="14"/>
      <c r="G31" s="14"/>
      <c r="H31" s="14" t="s">
        <v>1174</v>
      </c>
      <c r="I31" s="14"/>
    </row>
    <row r="32" spans="2:9" ht="42" customHeight="1">
      <c r="B32" s="16" t="s">
        <v>1175</v>
      </c>
      <c r="C32" s="14" t="s">
        <v>1176</v>
      </c>
      <c r="D32" s="14"/>
      <c r="E32" s="14" t="s">
        <v>1177</v>
      </c>
      <c r="F32" s="14"/>
      <c r="G32" s="14"/>
      <c r="H32" s="14" t="s">
        <v>1178</v>
      </c>
      <c r="I32" s="14"/>
    </row>
    <row r="34" spans="2:9" ht="28" customHeight="1">
      <c r="B34" s="10" t="s">
        <v>1179</v>
      </c>
      <c r="C34" s="10"/>
      <c r="D34" s="10"/>
      <c r="E34" s="10"/>
      <c r="F34" s="10"/>
      <c r="G34" s="10"/>
      <c r="H34" s="10"/>
      <c r="I34" s="10"/>
    </row>
  </sheetData>
  <mergeCells count="57">
    <mergeCell ref="B4:C4"/>
    <mergeCell ref="B5:C5"/>
    <mergeCell ref="D4:E4"/>
    <mergeCell ref="D5:E5"/>
    <mergeCell ref="F4:G4"/>
    <mergeCell ref="F5:G5"/>
    <mergeCell ref="H4:I4"/>
    <mergeCell ref="H5:I5"/>
    <mergeCell ref="B7:C7"/>
    <mergeCell ref="B8:C8"/>
    <mergeCell ref="D7:E7"/>
    <mergeCell ref="D8:E8"/>
    <mergeCell ref="F7:G7"/>
    <mergeCell ref="F8:G8"/>
    <mergeCell ref="H7:I7"/>
    <mergeCell ref="H8:I8"/>
    <mergeCell ref="B11:I11"/>
    <mergeCell ref="B12:I12"/>
    <mergeCell ref="B13:I13"/>
    <mergeCell ref="B15:I15"/>
    <mergeCell ref="B16:I16"/>
    <mergeCell ref="B17:I17"/>
    <mergeCell ref="B18:I18"/>
    <mergeCell ref="B19:I19"/>
    <mergeCell ref="B20:I20"/>
    <mergeCell ref="B22:I22"/>
    <mergeCell ref="C23:D23"/>
    <mergeCell ref="E23:G23"/>
    <mergeCell ref="H23:I23"/>
    <mergeCell ref="C24:D24"/>
    <mergeCell ref="E24:G24"/>
    <mergeCell ref="H24:I24"/>
    <mergeCell ref="C25:D25"/>
    <mergeCell ref="E25:G25"/>
    <mergeCell ref="H25:I25"/>
    <mergeCell ref="C26:D26"/>
    <mergeCell ref="E26:G26"/>
    <mergeCell ref="H26:I26"/>
    <mergeCell ref="C27:D27"/>
    <mergeCell ref="E27:G27"/>
    <mergeCell ref="H27:I27"/>
    <mergeCell ref="C28:D28"/>
    <mergeCell ref="E28:G28"/>
    <mergeCell ref="H28:I28"/>
    <mergeCell ref="C29:D29"/>
    <mergeCell ref="E29:G29"/>
    <mergeCell ref="H29:I29"/>
    <mergeCell ref="C30:D30"/>
    <mergeCell ref="E30:G30"/>
    <mergeCell ref="H30:I30"/>
    <mergeCell ref="C31:D31"/>
    <mergeCell ref="E31:G31"/>
    <mergeCell ref="H31:I31"/>
    <mergeCell ref="C32:D32"/>
    <mergeCell ref="E32:G32"/>
    <mergeCell ref="H32:I32"/>
    <mergeCell ref="B34:I34"/>
  </mergeCells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12.7109375" customWidth="1"/>
    <col min="2" max="2" width="32.7109375" customWidth="1"/>
    <col min="3" max="3" width="14.7109375" customWidth="1"/>
    <col min="4" max="4" width="9.7109375" customWidth="1"/>
    <col min="5" max="6" width="10.7109375" customWidth="1"/>
    <col min="7" max="7" width="11.7109375" customWidth="1"/>
    <col min="8" max="8" width="12.7109375" customWidth="1"/>
    <col min="9" max="9" width="13.7109375" customWidth="1"/>
    <col min="10" max="10" width="10.7109375" customWidth="1"/>
    <col min="11" max="11" width="24.7109375" customWidth="1"/>
    <col min="12" max="12" width="11.7109375" customWidth="1"/>
  </cols>
  <sheetData>
    <row r="1" spans="1:12" x14ac:dyDescent="0.25">
      <c r="A1" s="1" t="s">
        <v>1038</v>
      </c>
    </row>
    <row r="2" spans="1:12" x14ac:dyDescent="0.25">
      <c r="A2" s="2" t="s">
        <v>1039</v>
      </c>
      <c r="D2" s="17">
        <v>8760</v>
      </c>
      <c r="E2" s="18" t="s">
        <v>1040</v>
      </c>
    </row>
    <row r="4" spans="1:12" ht="30" customHeight="1" x14ac:dyDescent="0.25">
      <c r="A4" s="12" t="s">
        <v>833</v>
      </c>
      <c r="B4" s="12" t="s">
        <v>857</v>
      </c>
      <c r="C4" s="12" t="s">
        <v>881</v>
      </c>
      <c r="D4" s="12" t="s">
        <v>1041</v>
      </c>
      <c r="E4" s="12" t="s">
        <v>1011</v>
      </c>
      <c r="F4" s="12" t="s">
        <v>1042</v>
      </c>
      <c r="G4" s="12" t="s">
        <v>1043</v>
      </c>
      <c r="H4" s="12" t="s">
        <v>1044</v>
      </c>
      <c r="I4" s="12" t="s">
        <v>1012</v>
      </c>
      <c r="J4" s="12" t="s">
        <v>1045</v>
      </c>
      <c r="K4" s="12" t="s">
        <v>1046</v>
      </c>
      <c r="L4" s="12" t="s">
        <v>1047</v>
      </c>
    </row>
    <row r="5" spans="1:12" x14ac:dyDescent="0.25">
      <c r="A5" s="19" t="s">
        <v>845</v>
      </c>
      <c r="B5" s="19" t="s">
        <v>869</v>
      </c>
      <c r="C5" s="19" t="s">
        <v>893</v>
      </c>
      <c r="D5" s="20">
        <f>COUNTIFS('Données'!$E$2:$E$822,$A5,'Données'!$D$2:$D$822,1)</f>
        <v>16</v>
      </c>
      <c r="E5" s="21">
        <f>SUMIFS('Données'!$N$2:$N$822,'Données'!$E$2:$E$822,$A5,'Données'!$D$2:$D$822,1)</f>
        <v>105.9</v>
      </c>
      <c r="F5" s="21">
        <f>IFERROR(E5/COUNTIFS('Données'!$E$2:$E$822,$A5,'Données'!$D$2:$D$822,1,'Données'!$N$2:$N$822,"&gt;0"),"")</f>
        <v>7.564285714285715</v>
      </c>
      <c r="G5" s="21">
        <f>IF(D5&gt;0,('Équipements'!$D$2-E5)/D5,"")</f>
        <v>540.88125</v>
      </c>
      <c r="H5" s="22">
        <f>MAX(0,'Équipements'!$D$2-E5)/'Équipements'!$D$2</f>
        <v>0.9879109589041096</v>
      </c>
      <c r="I5" s="23">
        <f>SUMIFS('Données'!$O$2:$O$822,'Données'!$E$2:$E$822,$A5)</f>
        <v>168318.99</v>
      </c>
      <c r="J5" s="20">
        <f>COUNTIFS('Données'!$E$2:$E$822,$A5,'Données'!$Q$2:$Q$822,1)</f>
        <v>2</v>
      </c>
      <c r="K5" s="19" t="s">
        <v>997</v>
      </c>
      <c r="L5" s="20">
        <v>90</v>
      </c>
    </row>
    <row r="6" spans="1:12" x14ac:dyDescent="0.25">
      <c r="A6" s="19" t="s">
        <v>843</v>
      </c>
      <c r="B6" s="19" t="s">
        <v>867</v>
      </c>
      <c r="C6" s="19" t="s">
        <v>891</v>
      </c>
      <c r="D6" s="20">
        <f>COUNTIFS('Données'!$E$2:$E$822,$A6,'Données'!$D$2:$D$822,1)</f>
        <v>35</v>
      </c>
      <c r="E6" s="21">
        <f>SUMIFS('Données'!$N$2:$N$822,'Données'!$E$2:$E$822,$A6,'Données'!$D$2:$D$822,1)</f>
        <v>99.7</v>
      </c>
      <c r="F6" s="21">
        <f>IFERROR(E6/COUNTIFS('Données'!$E$2:$E$822,$A6,'Données'!$D$2:$D$822,1,'Données'!$N$2:$N$822,"&gt;0"),"")</f>
        <v>4.531818181818182</v>
      </c>
      <c r="G6" s="21">
        <f>IF(D6&gt;0,('Équipements'!$D$2-E6)/D6,"")</f>
        <v>247.43714285714285</v>
      </c>
      <c r="H6" s="22">
        <f>MAX(0,'Équipements'!$D$2-E6)/'Équipements'!$D$2</f>
        <v>0.9886187214611871</v>
      </c>
      <c r="I6" s="23">
        <f>SUMIFS('Données'!$O$2:$O$822,'Données'!$E$2:$E$822,$A6)</f>
        <v>88831.6</v>
      </c>
      <c r="J6" s="20">
        <f>COUNTIFS('Données'!$E$2:$E$822,$A6,'Données'!$Q$2:$Q$822,1)</f>
        <v>5</v>
      </c>
      <c r="K6" s="19" t="s">
        <v>1000</v>
      </c>
      <c r="L6" s="20">
        <v>100</v>
      </c>
    </row>
    <row r="7" spans="1:12" x14ac:dyDescent="0.25">
      <c r="A7" s="19" t="s">
        <v>848</v>
      </c>
      <c r="B7" s="19" t="s">
        <v>872</v>
      </c>
      <c r="C7" s="19" t="s">
        <v>896</v>
      </c>
      <c r="D7" s="20">
        <f>COUNTIFS('Données'!$E$2:$E$822,$A7,'Données'!$D$2:$D$822,1)</f>
        <v>9</v>
      </c>
      <c r="E7" s="21">
        <f>SUMIFS('Données'!$N$2:$N$822,'Données'!$E$2:$E$822,$A7,'Données'!$D$2:$D$822,1)</f>
        <v>92.7</v>
      </c>
      <c r="F7" s="21">
        <f>IFERROR(E7/COUNTIFS('Données'!$E$2:$E$822,$A7,'Données'!$D$2:$D$822,1,'Données'!$N$2:$N$822,"&gt;0"),"")</f>
        <v>13.242857142857144</v>
      </c>
      <c r="G7" s="21">
        <f>IF(D7&gt;0,('Équipements'!$D$2-E7)/D7,"")</f>
        <v>963.0333333333333</v>
      </c>
      <c r="H7" s="22">
        <f>MAX(0,'Équipements'!$D$2-E7)/'Équipements'!$D$2</f>
        <v>0.989417808219178</v>
      </c>
      <c r="I7" s="23">
        <f>SUMIFS('Données'!$O$2:$O$822,'Données'!$E$2:$E$822,$A7)</f>
        <v>206839.56</v>
      </c>
      <c r="J7" s="20">
        <f>COUNTIFS('Données'!$E$2:$E$822,$A7,'Données'!$Q$2:$Q$822,1)</f>
        <v>3</v>
      </c>
      <c r="K7" s="19" t="s">
        <v>1002</v>
      </c>
      <c r="L7" s="20">
        <v>84</v>
      </c>
    </row>
    <row r="8" spans="1:12" x14ac:dyDescent="0.25">
      <c r="A8" s="19" t="s">
        <v>837</v>
      </c>
      <c r="B8" s="19" t="s">
        <v>861</v>
      </c>
      <c r="C8" s="19" t="s">
        <v>885</v>
      </c>
      <c r="D8" s="20">
        <f>COUNTIFS('Données'!$E$2:$E$822,$A8,'Données'!$D$2:$D$822,1)</f>
        <v>14</v>
      </c>
      <c r="E8" s="21">
        <f>SUMIFS('Données'!$N$2:$N$822,'Données'!$E$2:$E$822,$A8,'Données'!$D$2:$D$822,1)</f>
        <v>92.3</v>
      </c>
      <c r="F8" s="21">
        <f>IFERROR(E8/COUNTIFS('Données'!$E$2:$E$822,$A8,'Données'!$D$2:$D$822,1,'Données'!$N$2:$N$822,"&gt;0"),"")</f>
        <v>9.23</v>
      </c>
      <c r="G8" s="21">
        <f>IF(D8&gt;0,('Équipements'!$D$2-E8)/D8,"")</f>
        <v>619.1214285714286</v>
      </c>
      <c r="H8" s="22">
        <f>MAX(0,'Équipements'!$D$2-E8)/'Équipements'!$D$2</f>
        <v>0.9894634703196348</v>
      </c>
      <c r="I8" s="23">
        <f>SUMIFS('Données'!$O$2:$O$822,'Données'!$E$2:$E$822,$A8)</f>
        <v>92877.96</v>
      </c>
      <c r="J8" s="20">
        <f>COUNTIFS('Données'!$E$2:$E$822,$A8,'Données'!$Q$2:$Q$822,1)</f>
        <v>3</v>
      </c>
      <c r="K8" s="19" t="s">
        <v>993</v>
      </c>
      <c r="L8" s="20">
        <v>68</v>
      </c>
    </row>
    <row r="9" spans="1:12" x14ac:dyDescent="0.25">
      <c r="A9" s="19" t="s">
        <v>852</v>
      </c>
      <c r="B9" s="19" t="s">
        <v>876</v>
      </c>
      <c r="C9" s="19" t="s">
        <v>900</v>
      </c>
      <c r="D9" s="20">
        <f>COUNTIFS('Données'!$E$2:$E$822,$A9,'Données'!$D$2:$D$822,1)</f>
        <v>10</v>
      </c>
      <c r="E9" s="21">
        <f>SUMIFS('Données'!$N$2:$N$822,'Données'!$E$2:$E$822,$A9,'Données'!$D$2:$D$822,1)</f>
        <v>81.3</v>
      </c>
      <c r="F9" s="21">
        <f>IFERROR(E9/COUNTIFS('Données'!$E$2:$E$822,$A9,'Données'!$D$2:$D$822,1,'Données'!$N$2:$N$822,"&gt;0"),"")</f>
        <v>10.1625</v>
      </c>
      <c r="G9" s="21">
        <f>IF(D9&gt;0,('Équipements'!$D$2-E9)/D9,"")</f>
        <v>867.8700000000001</v>
      </c>
      <c r="H9" s="22">
        <f>MAX(0,'Équipements'!$D$2-E9)/'Équipements'!$D$2</f>
        <v>0.9907191780821919</v>
      </c>
      <c r="I9" s="23">
        <f>SUMIFS('Données'!$O$2:$O$822,'Données'!$E$2:$E$822,$A9)</f>
        <v>113619.35</v>
      </c>
      <c r="J9" s="20">
        <f>COUNTIFS('Données'!$E$2:$E$822,$A9,'Données'!$Q$2:$Q$822,1)</f>
        <v>3</v>
      </c>
      <c r="K9" s="19" t="s">
        <v>992</v>
      </c>
      <c r="L9" s="20">
        <v>63</v>
      </c>
    </row>
    <row r="10" spans="1:12" x14ac:dyDescent="0.25">
      <c r="A10" s="19" t="s">
        <v>839</v>
      </c>
      <c r="B10" s="19" t="s">
        <v>863</v>
      </c>
      <c r="C10" s="19" t="s">
        <v>887</v>
      </c>
      <c r="D10" s="20">
        <f>COUNTIFS('Données'!$E$2:$E$822,$A10,'Données'!$D$2:$D$822,1)</f>
        <v>12</v>
      </c>
      <c r="E10" s="21">
        <f>SUMIFS('Données'!$N$2:$N$822,'Données'!$E$2:$E$822,$A10,'Données'!$D$2:$D$822,1)</f>
        <v>64.7</v>
      </c>
      <c r="F10" s="21">
        <f>IFERROR(E10/COUNTIFS('Données'!$E$2:$E$822,$A10,'Données'!$D$2:$D$822,1,'Données'!$N$2:$N$822,"&gt;0"),"")</f>
        <v>7.188888888888889</v>
      </c>
      <c r="G10" s="21">
        <f>IF(D10&gt;0,('Équipements'!$D$2-E10)/D10,"")</f>
        <v>724.6083333333332</v>
      </c>
      <c r="H10" s="22">
        <f>MAX(0,'Équipements'!$D$2-E10)/'Équipements'!$D$2</f>
        <v>0.9926141552511415</v>
      </c>
      <c r="I10" s="23">
        <f>SUMIFS('Données'!$O$2:$O$822,'Données'!$E$2:$E$822,$A10)</f>
        <v>61053.399999999994</v>
      </c>
      <c r="J10" s="20">
        <f>COUNTIFS('Données'!$E$2:$E$822,$A10,'Données'!$Q$2:$Q$822,1)</f>
        <v>7</v>
      </c>
      <c r="K10" s="19" t="s">
        <v>990</v>
      </c>
      <c r="L10" s="20">
        <v>50</v>
      </c>
    </row>
    <row r="11" spans="1:12" x14ac:dyDescent="0.25">
      <c r="A11" s="19" t="s">
        <v>844</v>
      </c>
      <c r="B11" s="19" t="s">
        <v>868</v>
      </c>
      <c r="C11" s="19" t="s">
        <v>892</v>
      </c>
      <c r="D11" s="20">
        <f>COUNTIFS('Données'!$E$2:$E$822,$A11,'Données'!$D$2:$D$822,1)</f>
        <v>19</v>
      </c>
      <c r="E11" s="21">
        <f>SUMIFS('Données'!$N$2:$N$822,'Données'!$E$2:$E$822,$A11,'Données'!$D$2:$D$822,1)</f>
        <v>62.36</v>
      </c>
      <c r="F11" s="21">
        <f>IFERROR(E11/COUNTIFS('Données'!$E$2:$E$822,$A11,'Données'!$D$2:$D$822,1,'Données'!$N$2:$N$822,"&gt;0"),"")</f>
        <v>4.157333333333333</v>
      </c>
      <c r="G11" s="21">
        <f>IF(D11&gt;0,('Équipements'!$D$2-E11)/D11,"")</f>
        <v>457.7705263157894</v>
      </c>
      <c r="H11" s="22">
        <f>MAX(0,'Équipements'!$D$2-E11)/'Équipements'!$D$2</f>
        <v>0.9928812785388127</v>
      </c>
      <c r="I11" s="23">
        <f>SUMIFS('Données'!$O$2:$O$822,'Données'!$E$2:$E$822,$A11)</f>
        <v>71223.11</v>
      </c>
      <c r="J11" s="20">
        <f>COUNTIFS('Données'!$E$2:$E$822,$A11,'Données'!$Q$2:$Q$822,1)</f>
        <v>4</v>
      </c>
      <c r="K11" s="19" t="s">
        <v>996</v>
      </c>
      <c r="L11" s="20">
        <v>61</v>
      </c>
    </row>
    <row r="12" spans="1:12" x14ac:dyDescent="0.25">
      <c r="A12" s="19" t="s">
        <v>835</v>
      </c>
      <c r="B12" s="19" t="s">
        <v>859</v>
      </c>
      <c r="C12" s="19" t="s">
        <v>883</v>
      </c>
      <c r="D12" s="20">
        <f>COUNTIFS('Données'!$E$2:$E$822,$A12,'Données'!$D$2:$D$822,1)</f>
        <v>6</v>
      </c>
      <c r="E12" s="21">
        <f>SUMIFS('Données'!$N$2:$N$822,'Données'!$E$2:$E$822,$A12,'Données'!$D$2:$D$822,1)</f>
        <v>56.1</v>
      </c>
      <c r="F12" s="21">
        <f>IFERROR(E12/COUNTIFS('Données'!$E$2:$E$822,$A12,'Données'!$D$2:$D$822,1,'Données'!$N$2:$N$822,"&gt;0"),"")</f>
        <v>9.35</v>
      </c>
      <c r="G12" s="21">
        <f>IF(D12&gt;0,('Équipements'!$D$2-E12)/D12,"")</f>
        <v>1450.6499999999999</v>
      </c>
      <c r="H12" s="22">
        <f>MAX(0,'Équipements'!$D$2-E12)/'Équipements'!$D$2</f>
        <v>0.9935958904109589</v>
      </c>
      <c r="I12" s="23">
        <f>SUMIFS('Données'!$O$2:$O$822,'Données'!$E$2:$E$822,$A12)</f>
        <v>36143.3</v>
      </c>
      <c r="J12" s="20">
        <f>COUNTIFS('Données'!$E$2:$E$822,$A12,'Données'!$Q$2:$Q$822,1)</f>
        <v>4</v>
      </c>
      <c r="K12" s="19" t="s">
        <v>990</v>
      </c>
      <c r="L12" s="20">
        <v>33</v>
      </c>
    </row>
    <row r="13" spans="1:12" x14ac:dyDescent="0.25">
      <c r="A13" s="19" t="s">
        <v>849</v>
      </c>
      <c r="B13" s="19" t="s">
        <v>873</v>
      </c>
      <c r="C13" s="19" t="s">
        <v>897</v>
      </c>
      <c r="D13" s="20">
        <f>COUNTIFS('Données'!$E$2:$E$822,$A13,'Données'!$D$2:$D$822,1)</f>
        <v>7</v>
      </c>
      <c r="E13" s="21">
        <f>SUMIFS('Données'!$N$2:$N$822,'Données'!$E$2:$E$822,$A13,'Données'!$D$2:$D$822,1)</f>
        <v>53.7</v>
      </c>
      <c r="F13" s="21">
        <f>IFERROR(E13/COUNTIFS('Données'!$E$2:$E$822,$A13,'Données'!$D$2:$D$822,1,'Données'!$N$2:$N$822,"&gt;0"),"")</f>
        <v>8.950000000000001</v>
      </c>
      <c r="G13" s="21">
        <f>IF(D13&gt;0,('Équipements'!$D$2-E13)/D13,"")</f>
        <v>1243.7571428571428</v>
      </c>
      <c r="H13" s="22">
        <f>MAX(0,'Équipements'!$D$2-E13)/'Équipements'!$D$2</f>
        <v>0.9938698630136985</v>
      </c>
      <c r="I13" s="23">
        <f>SUMIFS('Données'!$O$2:$O$822,'Données'!$E$2:$E$822,$A13)</f>
        <v>90640.36</v>
      </c>
      <c r="J13" s="20">
        <f>COUNTIFS('Données'!$E$2:$E$822,$A13,'Données'!$Q$2:$Q$822,1)</f>
        <v>0</v>
      </c>
      <c r="K13" s="19" t="s">
        <v>1001</v>
      </c>
      <c r="L13" s="20">
        <v>45</v>
      </c>
    </row>
    <row r="14" spans="1:12" x14ac:dyDescent="0.25">
      <c r="A14" s="19" t="s">
        <v>842</v>
      </c>
      <c r="B14" s="19" t="s">
        <v>866</v>
      </c>
      <c r="C14" s="19" t="s">
        <v>890</v>
      </c>
      <c r="D14" s="20">
        <f>COUNTIFS('Données'!$E$2:$E$822,$A14,'Données'!$D$2:$D$822,1)</f>
        <v>10</v>
      </c>
      <c r="E14" s="21">
        <f>SUMIFS('Données'!$N$2:$N$822,'Données'!$E$2:$E$822,$A14,'Données'!$D$2:$D$822,1)</f>
        <v>46.900000000000006</v>
      </c>
      <c r="F14" s="21">
        <f>IFERROR(E14/COUNTIFS('Données'!$E$2:$E$822,$A14,'Données'!$D$2:$D$822,1,'Données'!$N$2:$N$822,"&gt;0"),"")</f>
        <v>5.862500000000001</v>
      </c>
      <c r="G14" s="21">
        <f>IF(D14&gt;0,('Équipements'!$D$2-E14)/D14,"")</f>
        <v>871.3100000000001</v>
      </c>
      <c r="H14" s="22">
        <f>MAX(0,'Équipements'!$D$2-E14)/'Équipements'!$D$2</f>
        <v>0.9946461187214612</v>
      </c>
      <c r="I14" s="23">
        <f>SUMIFS('Données'!$O$2:$O$822,'Données'!$E$2:$E$822,$A14)</f>
        <v>98941.84</v>
      </c>
      <c r="J14" s="20">
        <f>COUNTIFS('Données'!$E$2:$E$822,$A14,'Données'!$Q$2:$Q$822,1)</f>
        <v>7</v>
      </c>
      <c r="K14" s="19" t="s">
        <v>1001</v>
      </c>
      <c r="L14" s="20">
        <v>49</v>
      </c>
    </row>
    <row r="15" spans="1:12" x14ac:dyDescent="0.25">
      <c r="A15" s="19" t="s">
        <v>851</v>
      </c>
      <c r="B15" s="19" t="s">
        <v>875</v>
      </c>
      <c r="C15" s="19" t="s">
        <v>899</v>
      </c>
      <c r="D15" s="20">
        <f>COUNTIFS('Données'!$E$2:$E$822,$A15,'Données'!$D$2:$D$822,1)</f>
        <v>8</v>
      </c>
      <c r="E15" s="21">
        <f>SUMIFS('Données'!$N$2:$N$822,'Données'!$E$2:$E$822,$A15,'Données'!$D$2:$D$822,1)</f>
        <v>46.9</v>
      </c>
      <c r="F15" s="21">
        <f>IFERROR(E15/COUNTIFS('Données'!$E$2:$E$822,$A15,'Données'!$D$2:$D$822,1,'Données'!$N$2:$N$822,"&gt;0"),"")</f>
        <v>7.816666666666666</v>
      </c>
      <c r="G15" s="21">
        <f>IF(D15&gt;0,('Équipements'!$D$2-E15)/D15,"")</f>
        <v>1089.1375</v>
      </c>
      <c r="H15" s="22">
        <f>MAX(0,'Équipements'!$D$2-E15)/'Équipements'!$D$2</f>
        <v>0.9946461187214612</v>
      </c>
      <c r="I15" s="23">
        <f>SUMIFS('Données'!$O$2:$O$822,'Données'!$E$2:$E$822,$A15)</f>
        <v>59226.42</v>
      </c>
      <c r="J15" s="20">
        <f>COUNTIFS('Données'!$E$2:$E$822,$A15,'Données'!$Q$2:$Q$822,1)</f>
        <v>1</v>
      </c>
      <c r="K15" s="19" t="s">
        <v>992</v>
      </c>
      <c r="L15" s="20">
        <v>38</v>
      </c>
    </row>
    <row r="16" spans="1:12" x14ac:dyDescent="0.25">
      <c r="A16" s="19" t="s">
        <v>847</v>
      </c>
      <c r="B16" s="19" t="s">
        <v>871</v>
      </c>
      <c r="C16" s="19" t="s">
        <v>895</v>
      </c>
      <c r="D16" s="20">
        <f>COUNTIFS('Données'!$E$2:$E$822,$A16,'Données'!$D$2:$D$822,1)</f>
        <v>7</v>
      </c>
      <c r="E16" s="21">
        <f>SUMIFS('Données'!$N$2:$N$822,'Données'!$E$2:$E$822,$A16,'Données'!$D$2:$D$822,1)</f>
        <v>25.9</v>
      </c>
      <c r="F16" s="21">
        <f>IFERROR(E16/COUNTIFS('Données'!$E$2:$E$822,$A16,'Données'!$D$2:$D$822,1,'Données'!$N$2:$N$822,"&gt;0"),"")</f>
        <v>6.475</v>
      </c>
      <c r="G16" s="21">
        <f>IF(D16&gt;0,('Équipements'!$D$2-E16)/D16,"")</f>
        <v>1247.7285714285715</v>
      </c>
      <c r="H16" s="22">
        <f>MAX(0,'Équipements'!$D$2-E16)/'Équipements'!$D$2</f>
        <v>0.9970433789954338</v>
      </c>
      <c r="I16" s="23">
        <f>SUMIFS('Données'!$O$2:$O$822,'Données'!$E$2:$E$822,$A16)</f>
        <v>29692.04</v>
      </c>
      <c r="J16" s="20">
        <f>COUNTIFS('Données'!$E$2:$E$822,$A16,'Données'!$Q$2:$Q$822,1)</f>
        <v>5</v>
      </c>
      <c r="K16" s="19" t="s">
        <v>998</v>
      </c>
      <c r="L16" s="20">
        <v>24</v>
      </c>
    </row>
    <row r="17" spans="1:12" x14ac:dyDescent="0.25">
      <c r="A17" s="19" t="s">
        <v>841</v>
      </c>
      <c r="B17" s="19" t="s">
        <v>865</v>
      </c>
      <c r="C17" s="19" t="s">
        <v>889</v>
      </c>
      <c r="D17" s="20">
        <f>COUNTIFS('Données'!$E$2:$E$822,$A17,'Données'!$D$2:$D$822,1)</f>
        <v>5</v>
      </c>
      <c r="E17" s="21">
        <f>SUMIFS('Données'!$N$2:$N$822,'Données'!$E$2:$E$822,$A17,'Données'!$D$2:$D$822,1)</f>
        <v>20.7</v>
      </c>
      <c r="F17" s="21">
        <f>IFERROR(E17/COUNTIFS('Données'!$E$2:$E$822,$A17,'Données'!$D$2:$D$822,1,'Données'!$N$2:$N$822,"&gt;0"),"")</f>
        <v>6.8999999999999995</v>
      </c>
      <c r="G17" s="21">
        <f>IF(D17&gt;0,('Équipements'!$D$2-E17)/D17,"")</f>
        <v>1747.86</v>
      </c>
      <c r="H17" s="22">
        <f>MAX(0,'Équipements'!$D$2-E17)/'Équipements'!$D$2</f>
        <v>0.9976369863013698</v>
      </c>
      <c r="I17" s="23">
        <f>SUMIFS('Données'!$O$2:$O$822,'Données'!$E$2:$E$822,$A17)</f>
        <v>96223.83</v>
      </c>
      <c r="J17" s="20">
        <f>COUNTIFS('Données'!$E$2:$E$822,$A17,'Données'!$Q$2:$Q$822,1)</f>
        <v>4</v>
      </c>
      <c r="K17" s="19" t="s">
        <v>993</v>
      </c>
      <c r="L17" s="20">
        <v>33</v>
      </c>
    </row>
    <row r="18" spans="1:12" x14ac:dyDescent="0.25">
      <c r="A18" s="19" t="s">
        <v>840</v>
      </c>
      <c r="B18" s="19" t="s">
        <v>864</v>
      </c>
      <c r="C18" s="19" t="s">
        <v>888</v>
      </c>
      <c r="D18" s="20">
        <f>COUNTIFS('Données'!$E$2:$E$822,$A18,'Données'!$D$2:$D$822,1)</f>
        <v>3</v>
      </c>
      <c r="E18" s="21">
        <f>SUMIFS('Données'!$N$2:$N$822,'Données'!$E$2:$E$822,$A18,'Données'!$D$2:$D$822,1)</f>
        <v>19.6</v>
      </c>
      <c r="F18" s="21">
        <f>IFERROR(E18/COUNTIFS('Données'!$E$2:$E$822,$A18,'Données'!$D$2:$D$822,1,'Données'!$N$2:$N$822,"&gt;0"),"")</f>
        <v>6.533333333333334</v>
      </c>
      <c r="G18" s="21">
        <f>IF(D18&gt;0,('Équipements'!$D$2-E18)/D18,"")</f>
        <v>2913.4666666666667</v>
      </c>
      <c r="H18" s="22">
        <f>MAX(0,'Équipements'!$D$2-E18)/'Équipements'!$D$2</f>
        <v>0.9977625570776255</v>
      </c>
      <c r="I18" s="23">
        <f>SUMIFS('Données'!$O$2:$O$822,'Données'!$E$2:$E$822,$A18)</f>
        <v>46728.39</v>
      </c>
      <c r="J18" s="20">
        <f>COUNTIFS('Données'!$E$2:$E$822,$A18,'Données'!$Q$2:$Q$822,1)</f>
        <v>5</v>
      </c>
      <c r="K18" s="19" t="s">
        <v>994</v>
      </c>
      <c r="L18" s="20">
        <v>20</v>
      </c>
    </row>
    <row r="19" spans="1:12" x14ac:dyDescent="0.25">
      <c r="A19" s="19" t="s">
        <v>853</v>
      </c>
      <c r="B19" s="19" t="s">
        <v>877</v>
      </c>
      <c r="C19" s="19" t="s">
        <v>901</v>
      </c>
      <c r="D19" s="20">
        <f>COUNTIFS('Données'!$E$2:$E$822,$A19,'Données'!$D$2:$D$822,1)</f>
        <v>3</v>
      </c>
      <c r="E19" s="21">
        <f>SUMIFS('Données'!$N$2:$N$822,'Données'!$E$2:$E$822,$A19,'Données'!$D$2:$D$822,1)</f>
        <v>17.6</v>
      </c>
      <c r="F19" s="21">
        <f>IFERROR(E19/COUNTIFS('Données'!$E$2:$E$822,$A19,'Données'!$D$2:$D$822,1,'Données'!$N$2:$N$822,"&gt;0"),"")</f>
        <v>8.8</v>
      </c>
      <c r="G19" s="21">
        <f>IF(D19&gt;0,('Équipements'!$D$2-E19)/D19,"")</f>
        <v>2914.133333333333</v>
      </c>
      <c r="H19" s="22">
        <f>MAX(0,'Équipements'!$D$2-E19)/'Équipements'!$D$2</f>
        <v>0.9979908675799086</v>
      </c>
      <c r="I19" s="23">
        <f>SUMIFS('Données'!$O$2:$O$822,'Données'!$E$2:$E$822,$A19)</f>
        <v>24968.45</v>
      </c>
      <c r="J19" s="20">
        <f>COUNTIFS('Données'!$E$2:$E$822,$A19,'Données'!$Q$2:$Q$822,1)</f>
        <v>2</v>
      </c>
      <c r="K19" s="19" t="s">
        <v>990</v>
      </c>
      <c r="L19" s="20">
        <v>15</v>
      </c>
    </row>
    <row r="20" spans="1:12" x14ac:dyDescent="0.25">
      <c r="A20" s="19" t="s">
        <v>834</v>
      </c>
      <c r="B20" s="19" t="s">
        <v>858</v>
      </c>
      <c r="C20" s="19" t="s">
        <v>882</v>
      </c>
      <c r="D20" s="20">
        <f>COUNTIFS('Données'!$E$2:$E$822,$A20,'Données'!$D$2:$D$822,1)</f>
        <v>8</v>
      </c>
      <c r="E20" s="21">
        <f>SUMIFS('Données'!$N$2:$N$822,'Données'!$E$2:$E$822,$A20,'Données'!$D$2:$D$822,1)</f>
        <v>14.1</v>
      </c>
      <c r="F20" s="21">
        <f>IFERROR(E20/COUNTIFS('Données'!$E$2:$E$822,$A20,'Données'!$D$2:$D$822,1,'Données'!$N$2:$N$822,"&gt;0"),"")</f>
        <v>3.525</v>
      </c>
      <c r="G20" s="21">
        <f>IF(D20&gt;0,('Équipements'!$D$2-E20)/D20,"")</f>
        <v>1093.2375</v>
      </c>
      <c r="H20" s="22">
        <f>MAX(0,'Équipements'!$D$2-E20)/'Équipements'!$D$2</f>
        <v>0.998390410958904</v>
      </c>
      <c r="I20" s="23">
        <f>SUMIFS('Données'!$O$2:$O$822,'Données'!$E$2:$E$822,$A20)</f>
        <v>36604.17</v>
      </c>
      <c r="J20" s="20">
        <f>COUNTIFS('Données'!$E$2:$E$822,$A20,'Données'!$Q$2:$Q$822,1)</f>
        <v>3</v>
      </c>
      <c r="K20" s="19" t="s">
        <v>997</v>
      </c>
      <c r="L20" s="20">
        <v>24</v>
      </c>
    </row>
    <row r="21" spans="1:12" x14ac:dyDescent="0.25">
      <c r="A21" s="19" t="s">
        <v>850</v>
      </c>
      <c r="B21" s="19" t="s">
        <v>874</v>
      </c>
      <c r="C21" s="19" t="s">
        <v>898</v>
      </c>
      <c r="D21" s="20">
        <f>COUNTIFS('Données'!$E$2:$E$822,$A21,'Données'!$D$2:$D$822,1)</f>
        <v>3</v>
      </c>
      <c r="E21" s="21">
        <f>SUMIFS('Données'!$N$2:$N$822,'Données'!$E$2:$E$822,$A21,'Données'!$D$2:$D$822,1)</f>
        <v>14.0</v>
      </c>
      <c r="F21" s="21">
        <f>IFERROR(E21/COUNTIFS('Données'!$E$2:$E$822,$A21,'Données'!$D$2:$D$822,1,'Données'!$N$2:$N$822,"&gt;0"),"")</f>
        <v>4.666666666666667</v>
      </c>
      <c r="G21" s="21">
        <f>IF(D21&gt;0,('Équipements'!$D$2-E21)/D21,"")</f>
        <v>2915.3333333333335</v>
      </c>
      <c r="H21" s="22">
        <f>MAX(0,'Équipements'!$D$2-E21)/'Équipements'!$D$2</f>
        <v>0.9984018264840183</v>
      </c>
      <c r="I21" s="23">
        <f>SUMIFS('Données'!$O$2:$O$822,'Données'!$E$2:$E$822,$A21)</f>
        <v>15327.99</v>
      </c>
      <c r="J21" s="20">
        <f>COUNTIFS('Données'!$E$2:$E$822,$A21,'Données'!$Q$2:$Q$822,1)</f>
        <v>1</v>
      </c>
      <c r="K21" s="19" t="s">
        <v>997</v>
      </c>
      <c r="L21" s="20">
        <v>12</v>
      </c>
    </row>
    <row r="22" spans="1:12" x14ac:dyDescent="0.25">
      <c r="A22" s="19" t="s">
        <v>838</v>
      </c>
      <c r="B22" s="19" t="s">
        <v>862</v>
      </c>
      <c r="C22" s="19" t="s">
        <v>886</v>
      </c>
      <c r="D22" s="20">
        <f>COUNTIFS('Données'!$E$2:$E$822,$A22,'Données'!$D$2:$D$822,1)</f>
        <v>7</v>
      </c>
      <c r="E22" s="21">
        <f>SUMIFS('Données'!$N$2:$N$822,'Données'!$E$2:$E$822,$A22,'Données'!$D$2:$D$822,1)</f>
        <v>13.5</v>
      </c>
      <c r="F22" s="21">
        <f>IFERROR(E22/COUNTIFS('Données'!$E$2:$E$822,$A22,'Données'!$D$2:$D$822,1,'Données'!$N$2:$N$822,"&gt;0"),"")</f>
        <v>4.5</v>
      </c>
      <c r="G22" s="21">
        <f>IF(D22&gt;0,('Équipements'!$D$2-E22)/D22,"")</f>
        <v>1249.5</v>
      </c>
      <c r="H22" s="22">
        <f>MAX(0,'Équipements'!$D$2-E22)/'Équipements'!$D$2</f>
        <v>0.998458904109589</v>
      </c>
      <c r="I22" s="23">
        <f>SUMIFS('Données'!$O$2:$O$822,'Données'!$E$2:$E$822,$A22)</f>
        <v>27674.45</v>
      </c>
      <c r="J22" s="20">
        <f>COUNTIFS('Données'!$E$2:$E$822,$A22,'Données'!$Q$2:$Q$822,1)</f>
        <v>2</v>
      </c>
      <c r="K22" s="19" t="s">
        <v>1000</v>
      </c>
      <c r="L22" s="20">
        <v>20</v>
      </c>
    </row>
    <row r="23" spans="1:12" x14ac:dyDescent="0.25">
      <c r="A23" s="19" t="s">
        <v>854</v>
      </c>
      <c r="B23" s="19" t="s">
        <v>878</v>
      </c>
      <c r="C23" s="19" t="s">
        <v>902</v>
      </c>
      <c r="D23" s="20">
        <f>COUNTIFS('Données'!$E$2:$E$822,$A23,'Données'!$D$2:$D$822,1)</f>
        <v>5</v>
      </c>
      <c r="E23" s="21">
        <f>SUMIFS('Données'!$N$2:$N$822,'Données'!$E$2:$E$822,$A23,'Données'!$D$2:$D$822,1)</f>
        <v>13.0</v>
      </c>
      <c r="F23" s="21">
        <f>IFERROR(E23/COUNTIFS('Données'!$E$2:$E$822,$A23,'Données'!$D$2:$D$822,1,'Données'!$N$2:$N$822,"&gt;0"),"")</f>
        <v>3.25</v>
      </c>
      <c r="G23" s="21">
        <f>IF(D23&gt;0,('Équipements'!$D$2-E23)/D23,"")</f>
        <v>1749.4</v>
      </c>
      <c r="H23" s="22">
        <f>MAX(0,'Équipements'!$D$2-E23)/'Équipements'!$D$2</f>
        <v>0.9985159817351598</v>
      </c>
      <c r="I23" s="23">
        <f>SUMIFS('Données'!$O$2:$O$822,'Données'!$E$2:$E$822,$A23)</f>
        <v>27056.17</v>
      </c>
      <c r="J23" s="20">
        <f>COUNTIFS('Données'!$E$2:$E$822,$A23,'Données'!$Q$2:$Q$822,1)</f>
        <v>2</v>
      </c>
      <c r="K23" s="19" t="s">
        <v>1001</v>
      </c>
      <c r="L23" s="20">
        <v>17</v>
      </c>
    </row>
    <row r="24" spans="1:12" x14ac:dyDescent="0.25">
      <c r="A24" s="19" t="s">
        <v>855</v>
      </c>
      <c r="B24" s="19" t="s">
        <v>879</v>
      </c>
      <c r="C24" s="19" t="s">
        <v>903</v>
      </c>
      <c r="D24" s="20">
        <f>COUNTIFS('Données'!$E$2:$E$822,$A24,'Données'!$D$2:$D$822,1)</f>
        <v>4</v>
      </c>
      <c r="E24" s="21">
        <f>SUMIFS('Données'!$N$2:$N$822,'Données'!$E$2:$E$822,$A24,'Données'!$D$2:$D$822,1)</f>
        <v>12.399999999999999</v>
      </c>
      <c r="F24" s="21">
        <f>IFERROR(E24/COUNTIFS('Données'!$E$2:$E$822,$A24,'Données'!$D$2:$D$822,1,'Données'!$N$2:$N$822,"&gt;0"),"")</f>
        <v>4.133333333333333</v>
      </c>
      <c r="G24" s="21">
        <f>IF(D24&gt;0,('Équipements'!$D$2-E24)/D24,"")</f>
        <v>2186.9</v>
      </c>
      <c r="H24" s="22">
        <f>MAX(0,'Équipements'!$D$2-E24)/'Équipements'!$D$2</f>
        <v>0.9985844748858448</v>
      </c>
      <c r="I24" s="23">
        <f>SUMIFS('Données'!$O$2:$O$822,'Données'!$E$2:$E$822,$A24)</f>
        <v>14487.37</v>
      </c>
      <c r="J24" s="20">
        <f>COUNTIFS('Données'!$E$2:$E$822,$A24,'Données'!$Q$2:$Q$822,1)</f>
        <v>4</v>
      </c>
      <c r="K24" s="19" t="s">
        <v>994</v>
      </c>
      <c r="L24" s="20">
        <v>13</v>
      </c>
    </row>
    <row r="25" spans="1:12" x14ac:dyDescent="0.25">
      <c r="A25" s="19" t="s">
        <v>846</v>
      </c>
      <c r="B25" s="19" t="s">
        <v>870</v>
      </c>
      <c r="C25" s="19" t="s">
        <v>894</v>
      </c>
      <c r="D25" s="20">
        <f>COUNTIFS('Données'!$E$2:$E$822,$A25,'Données'!$D$2:$D$822,1)</f>
        <v>6</v>
      </c>
      <c r="E25" s="21">
        <f>SUMIFS('Données'!$N$2:$N$822,'Données'!$E$2:$E$822,$A25,'Données'!$D$2:$D$822,1)</f>
        <v>12.2</v>
      </c>
      <c r="F25" s="21">
        <f>IFERROR(E25/COUNTIFS('Données'!$E$2:$E$822,$A25,'Données'!$D$2:$D$822,1,'Données'!$N$2:$N$822,"&gt;0"),"")</f>
        <v>6.1</v>
      </c>
      <c r="G25" s="21">
        <f>IF(D25&gt;0,('Équipements'!$D$2-E25)/D25,"")</f>
        <v>1457.9666666666665</v>
      </c>
      <c r="H25" s="22">
        <f>MAX(0,'Équipements'!$D$2-E25)/'Équipements'!$D$2</f>
        <v>0.9986073059360729</v>
      </c>
      <c r="I25" s="23">
        <f>SUMIFS('Données'!$O$2:$O$822,'Données'!$E$2:$E$822,$A25)</f>
        <v>22783.100000000002</v>
      </c>
      <c r="J25" s="20">
        <f>COUNTIFS('Données'!$E$2:$E$822,$A25,'Données'!$Q$2:$Q$822,1)</f>
        <v>2</v>
      </c>
      <c r="K25" s="19" t="s">
        <v>993</v>
      </c>
      <c r="L25" s="20">
        <v>17</v>
      </c>
    </row>
    <row r="26" spans="1:12" x14ac:dyDescent="0.25">
      <c r="A26" s="19" t="s">
        <v>856</v>
      </c>
      <c r="B26" s="19" t="s">
        <v>880</v>
      </c>
      <c r="C26" s="19" t="s">
        <v>904</v>
      </c>
      <c r="D26" s="20">
        <f>COUNTIFS('Données'!$E$2:$E$822,$A26,'Données'!$D$2:$D$822,1)</f>
        <v>2</v>
      </c>
      <c r="E26" s="21">
        <f>SUMIFS('Données'!$N$2:$N$822,'Données'!$E$2:$E$822,$A26,'Données'!$D$2:$D$822,1)</f>
        <v>5.7</v>
      </c>
      <c r="F26" s="21">
        <f>IFERROR(E26/COUNTIFS('Données'!$E$2:$E$822,$A26,'Données'!$D$2:$D$822,1,'Données'!$N$2:$N$822,"&gt;0"),"")</f>
        <v>2.85</v>
      </c>
      <c r="G26" s="21">
        <f>IF(D26&gt;0,('Équipements'!$D$2-E26)/D26,"")</f>
        <v>4377.15</v>
      </c>
      <c r="H26" s="22">
        <f>MAX(0,'Équipements'!$D$2-E26)/'Équipements'!$D$2</f>
        <v>0.9993493150684931</v>
      </c>
      <c r="I26" s="23">
        <f>SUMIFS('Données'!$O$2:$O$822,'Données'!$E$2:$E$822,$A26)</f>
        <v>4620.51</v>
      </c>
      <c r="J26" s="20">
        <f>COUNTIFS('Données'!$E$2:$E$822,$A26,'Données'!$Q$2:$Q$822,1)</f>
        <v>2</v>
      </c>
      <c r="K26" s="19" t="s">
        <v>991</v>
      </c>
      <c r="L26" s="20">
        <v>6</v>
      </c>
    </row>
    <row r="27" spans="1:12" x14ac:dyDescent="0.25">
      <c r="A27" s="19" t="s">
        <v>836</v>
      </c>
      <c r="B27" s="19" t="s">
        <v>860</v>
      </c>
      <c r="C27" s="19" t="s">
        <v>884</v>
      </c>
      <c r="D27" s="20">
        <f>COUNTIFS('Données'!$E$2:$E$822,$A27,'Données'!$D$2:$D$822,1)</f>
        <v>3</v>
      </c>
      <c r="E27" s="21">
        <f>SUMIFS('Données'!$N$2:$N$822,'Données'!$E$2:$E$822,$A27,'Données'!$D$2:$D$822,1)</f>
        <v>4.7</v>
      </c>
      <c r="F27" s="21">
        <f>IFERROR(E27/COUNTIFS('Données'!$E$2:$E$822,$A27,'Données'!$D$2:$D$822,1,'Données'!$N$2:$N$822,"&gt;0"),"")</f>
        <v>4.7</v>
      </c>
      <c r="G27" s="21">
        <f>IF(D27&gt;0,('Équipements'!$D$2-E27)/D27,"")</f>
        <v>2918.433333333333</v>
      </c>
      <c r="H27" s="22">
        <f>MAX(0,'Équipements'!$D$2-E27)/'Équipements'!$D$2</f>
        <v>0.9994634703196347</v>
      </c>
      <c r="I27" s="23">
        <f>SUMIFS('Données'!$O$2:$O$822,'Données'!$E$2:$E$822,$A27)</f>
        <v>20444.36</v>
      </c>
      <c r="J27" s="20">
        <f>COUNTIFS('Données'!$E$2:$E$822,$A27,'Données'!$Q$2:$Q$822,1)</f>
        <v>3</v>
      </c>
      <c r="K27" s="19" t="s">
        <v>999</v>
      </c>
      <c r="L27" s="20">
        <v>10</v>
      </c>
    </row>
  </sheetData>
  <autoFilter ref="A4:L27"/>
  <conditionalFormatting sqref="E5:E27">
    <cfRule type="dataBar" priority="1">
      <dataBar>
        <cfvo type="min"/>
        <cfvo type="max"/>
        <color rgb="FF2A78D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H5:H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dataBar" priority="2">
      <dataBar>
        <cfvo type="min"/>
        <cfvo type="max"/>
        <color rgb="FF9DB8DE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</conditionalFormatting>
  <conditionalFormatting sqref="L5:L27">
    <cfRule type="colorScale" priority="4">
      <colorScale>
        <cfvo type="min" val="0"/>
        <cfvo type="percentile" val="50"/>
        <cfvo type="max" val="0"/>
        <color rgb="FFFFFFFF"/>
        <color rgb="FFFCD9B6"/>
        <color rgb="FFF4A259"/>
      </colorScale>
    </cfRule>
  </conditionalFormatting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2A78D6"/>
              <x14:negativeFillColor rgb="FFFF0000"/>
              <x14:negativeBorderColor rgb="FFFF0000"/>
              <x14:axisColor rgb="FF000000"/>
            </x14:dataBar>
          </x14:cfRule>
          <xm:sqref>E5:E27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9DB8DE"/>
              <x14:negativeFillColor rgb="FFFF0000"/>
              <x14:negativeBorderColor rgb="FFFF0000"/>
              <x14:axisColor rgb="FF000000"/>
            </x14:dataBar>
          </x14:cfRule>
          <xm:sqref>I5:I27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showGridLines="0" zoomScale="90" zoomScaleNormal="90" workbookViewId="0"/>
  </sheetViews>
  <sheetFormatPr defaultRowHeight="15"/>
  <cols>
    <col min="1" max="1" width="26.7109375" customWidth="1"/>
    <col min="2" max="3" width="9.7109375" customWidth="1"/>
    <col min="4" max="4" width="11.7109375" customWidth="1"/>
    <col min="5" max="5" width="10.7109375" customWidth="1"/>
    <col min="6" max="6" width="13.7109375" customWidth="1"/>
    <col min="7" max="7" width="12.7109375" customWidth="1"/>
  </cols>
  <sheetData>
    <row r="1" spans="1:7">
      <c r="A1" s="1" t="s">
        <v>1048</v>
      </c>
    </row>
    <row r="2" spans="1:7">
      <c r="A2" s="2" t="s">
        <v>1049</v>
      </c>
    </row>
    <row r="4" spans="1:7">
      <c r="A4" s="12" t="s">
        <v>988</v>
      </c>
      <c r="B4" s="12" t="s">
        <v>1041</v>
      </c>
      <c r="C4" s="12" t="s">
        <v>1050</v>
      </c>
      <c r="D4" s="12" t="s">
        <v>1051</v>
      </c>
      <c r="E4" s="12" t="s">
        <v>1011</v>
      </c>
      <c r="F4" s="12" t="s">
        <v>1012</v>
      </c>
      <c r="G4" s="12" t="s">
        <v>1052</v>
      </c>
    </row>
    <row r="5" spans="1:7">
      <c r="A5" s="19" t="s">
        <v>1000</v>
      </c>
      <c r="B5" s="20">
        <f>COUNTIFS('Données'!$I$2:$I$822,$A5,'Données'!$D$2:$D$822,1)</f>
        <v>30</v>
      </c>
      <c r="C5" s="22">
        <f>IFERROR(B5/SUM($B$5:$B$17),0)</f>
        <v>0.1485148514851485</v>
      </c>
      <c r="D5" s="22">
        <f>SUM($C$5:C5)</f>
        <v>0.1485148514851485</v>
      </c>
      <c r="E5" s="21">
        <f>SUMIFS('Données'!$N$2:$N$822,'Données'!$I$2:$I$822,$A5,'Données'!$D$2:$D$822,1)</f>
        <v>125.1</v>
      </c>
      <c r="F5" s="23">
        <f>SUMIFS('Données'!$O$2:$O$822,'Données'!$I$2:$I$822,$A5,'Données'!$D$2:$D$822,1)</f>
        <v>100146.87</v>
      </c>
      <c r="G5" s="20">
        <v>6</v>
      </c>
    </row>
    <row r="6" spans="1:7">
      <c r="A6" s="19" t="s">
        <v>993</v>
      </c>
      <c r="B6" s="20">
        <f>COUNTIFS('Données'!$I$2:$I$822,$A6,'Données'!$D$2:$D$822,1)</f>
        <v>25</v>
      </c>
      <c r="C6" s="22">
        <f>IFERROR(B6/SUM($B$5:$B$17),0)</f>
        <v>0.12376237623762376</v>
      </c>
      <c r="D6" s="22">
        <f>SUM($C$5:C6)</f>
        <v>0.2722772277227723</v>
      </c>
      <c r="E6" s="21">
        <f>SUMIFS('Données'!$N$2:$N$822,'Données'!$I$2:$I$822,$A6,'Données'!$D$2:$D$822,1)</f>
        <v>120.6</v>
      </c>
      <c r="F6" s="23">
        <f>SUMIFS('Données'!$O$2:$O$822,'Données'!$I$2:$I$822,$A6,'Données'!$D$2:$D$822,1)</f>
        <v>161112.03</v>
      </c>
      <c r="G6" s="20">
        <v>10</v>
      </c>
    </row>
    <row r="7" spans="1:7">
      <c r="A7" s="19" t="s">
        <v>990</v>
      </c>
      <c r="B7" s="20">
        <f>COUNTIFS('Données'!$I$2:$I$822,$A7,'Données'!$D$2:$D$822,1)</f>
        <v>22</v>
      </c>
      <c r="C7" s="22">
        <f>IFERROR(B7/SUM($B$5:$B$17),0)</f>
        <v>0.10891089108910891</v>
      </c>
      <c r="D7" s="22">
        <f>SUM($C$5:C7)</f>
        <v>0.3811881188118812</v>
      </c>
      <c r="E7" s="21">
        <f>SUMIFS('Données'!$N$2:$N$822,'Données'!$I$2:$I$822,$A7,'Données'!$D$2:$D$822,1)</f>
        <v>106.7</v>
      </c>
      <c r="F7" s="23">
        <f>SUMIFS('Données'!$O$2:$O$822,'Données'!$I$2:$I$822,$A7,'Données'!$D$2:$D$822,1)</f>
        <v>79198.38</v>
      </c>
      <c r="G7" s="20">
        <v>5</v>
      </c>
    </row>
    <row r="8" spans="1:7">
      <c r="A8" s="19" t="s">
        <v>991</v>
      </c>
      <c r="B8" s="20">
        <f>COUNTIFS('Données'!$I$2:$I$822,$A8,'Données'!$D$2:$D$822,1)</f>
        <v>21</v>
      </c>
      <c r="C8" s="22">
        <f>IFERROR(B8/SUM($B$5:$B$17),0)</f>
        <v>0.10396039603960396</v>
      </c>
      <c r="D8" s="22">
        <f>SUM($C$5:C8)</f>
        <v>0.48514851485148514</v>
      </c>
      <c r="E8" s="21">
        <f>SUMIFS('Données'!$N$2:$N$822,'Données'!$I$2:$I$822,$A8,'Données'!$D$2:$D$822,1)</f>
        <v>88.68</v>
      </c>
      <c r="F8" s="23">
        <f>SUMIFS('Données'!$O$2:$O$822,'Données'!$I$2:$I$822,$A8,'Données'!$D$2:$D$822,1)</f>
        <v>135926.2</v>
      </c>
      <c r="G8" s="20">
        <v>10</v>
      </c>
    </row>
    <row r="9" spans="1:7">
      <c r="A9" s="19" t="s">
        <v>1001</v>
      </c>
      <c r="B9" s="20">
        <f>COUNTIFS('Données'!$I$2:$I$822,$A9,'Données'!$D$2:$D$822,1)</f>
        <v>20</v>
      </c>
      <c r="C9" s="22">
        <f>IFERROR(B9/SUM($B$5:$B$17),0)</f>
        <v>0.09900990099009901</v>
      </c>
      <c r="D9" s="22">
        <f>SUM($C$5:C9)</f>
        <v>0.5841584158415841</v>
      </c>
      <c r="E9" s="21">
        <f>SUMIFS('Données'!$N$2:$N$822,'Données'!$I$2:$I$822,$A9,'Données'!$D$2:$D$822,1)</f>
        <v>107.9</v>
      </c>
      <c r="F9" s="23">
        <f>SUMIFS('Données'!$O$2:$O$822,'Données'!$I$2:$I$822,$A9,'Données'!$D$2:$D$822,1)</f>
        <v>124877.64</v>
      </c>
      <c r="G9" s="20">
        <v>8</v>
      </c>
    </row>
    <row r="10" spans="1:7">
      <c r="A10" s="19" t="s">
        <v>998</v>
      </c>
      <c r="B10" s="20">
        <f>COUNTIFS('Données'!$I$2:$I$822,$A10,'Données'!$D$2:$D$822,1)</f>
        <v>18</v>
      </c>
      <c r="C10" s="22">
        <f>IFERROR(B10/SUM($B$5:$B$17),0)</f>
        <v>0.0891089108910891</v>
      </c>
      <c r="D10" s="22">
        <f>SUM($C$5:C10)</f>
        <v>0.6732673267326732</v>
      </c>
      <c r="E10" s="21">
        <f>SUMIFS('Données'!$N$2:$N$822,'Données'!$I$2:$I$822,$A10,'Données'!$D$2:$D$822,1)</f>
        <v>123.1</v>
      </c>
      <c r="F10" s="23">
        <f>SUMIFS('Données'!$O$2:$O$822,'Données'!$I$2:$I$822,$A10,'Données'!$D$2:$D$822,1)</f>
        <v>122336.61</v>
      </c>
      <c r="G10" s="20">
        <v>7</v>
      </c>
    </row>
    <row r="11" spans="1:7">
      <c r="A11" s="19" t="s">
        <v>996</v>
      </c>
      <c r="B11" s="20">
        <f>COUNTIFS('Données'!$I$2:$I$822,$A11,'Données'!$D$2:$D$822,1)</f>
        <v>15</v>
      </c>
      <c r="C11" s="22">
        <f>IFERROR(B11/SUM($B$5:$B$17),0)</f>
        <v>0.07425742574257425</v>
      </c>
      <c r="D11" s="22">
        <f>SUM($C$5:C11)</f>
        <v>0.7475247524752474</v>
      </c>
      <c r="E11" s="21">
        <f>SUMIFS('Données'!$N$2:$N$822,'Données'!$I$2:$I$822,$A11,'Données'!$D$2:$D$822,1)</f>
        <v>50.38</v>
      </c>
      <c r="F11" s="23">
        <f>SUMIFS('Données'!$O$2:$O$822,'Données'!$I$2:$I$822,$A11,'Données'!$D$2:$D$822,1)</f>
        <v>44995.92</v>
      </c>
      <c r="G11" s="20">
        <v>3</v>
      </c>
    </row>
    <row r="12" spans="1:7">
      <c r="A12" s="19" t="s">
        <v>997</v>
      </c>
      <c r="B12" s="20">
        <f>COUNTIFS('Données'!$I$2:$I$822,$A12,'Données'!$D$2:$D$822,1)</f>
        <v>12</v>
      </c>
      <c r="C12" s="22">
        <f>IFERROR(B12/SUM($B$5:$B$17),0)</f>
        <v>0.0594059405940594</v>
      </c>
      <c r="D12" s="22">
        <f>SUM($C$5:C12)</f>
        <v>0.8069306930693068</v>
      </c>
      <c r="E12" s="21">
        <f>SUMIFS('Données'!$N$2:$N$822,'Données'!$I$2:$I$822,$A12,'Données'!$D$2:$D$822,1)</f>
        <v>36.9</v>
      </c>
      <c r="F12" s="23">
        <f>SUMIFS('Données'!$O$2:$O$822,'Données'!$I$2:$I$822,$A12,'Données'!$D$2:$D$822,1)</f>
        <v>50250.89</v>
      </c>
      <c r="G12" s="20">
        <v>4</v>
      </c>
    </row>
    <row r="13" spans="1:7">
      <c r="A13" s="19" t="s">
        <v>992</v>
      </c>
      <c r="B13" s="20">
        <f>COUNTIFS('Données'!$I$2:$I$822,$A13,'Données'!$D$2:$D$822,1)</f>
        <v>11</v>
      </c>
      <c r="C13" s="22">
        <f>IFERROR(B13/SUM($B$5:$B$17),0)</f>
        <v>0.054455445544554455</v>
      </c>
      <c r="D13" s="22">
        <f>SUM($C$5:C13)</f>
        <v>0.8613861386138613</v>
      </c>
      <c r="E13" s="21">
        <f>SUMIFS('Données'!$N$2:$N$822,'Données'!$I$2:$I$822,$A13,'Données'!$D$2:$D$822,1)</f>
        <v>69.7</v>
      </c>
      <c r="F13" s="23">
        <f>SUMIFS('Données'!$O$2:$O$822,'Données'!$I$2:$I$822,$A13,'Données'!$D$2:$D$822,1)</f>
        <v>106686.7</v>
      </c>
      <c r="G13" s="20">
        <v>4</v>
      </c>
    </row>
    <row r="14" spans="1:7">
      <c r="A14" s="19" t="s">
        <v>1002</v>
      </c>
      <c r="B14" s="20">
        <f>COUNTIFS('Données'!$I$2:$I$822,$A14,'Données'!$D$2:$D$822,1)</f>
        <v>10</v>
      </c>
      <c r="C14" s="22">
        <f>IFERROR(B14/SUM($B$5:$B$17),0)</f>
        <v>0.04950495049504951</v>
      </c>
      <c r="D14" s="22">
        <f>SUM($C$5:C14)</f>
        <v>0.9108910891089108</v>
      </c>
      <c r="E14" s="21">
        <f>SUMIFS('Données'!$N$2:$N$822,'Données'!$I$2:$I$822,$A14,'Données'!$D$2:$D$822,1)</f>
        <v>73.9</v>
      </c>
      <c r="F14" s="23">
        <f>SUMIFS('Données'!$O$2:$O$822,'Données'!$I$2:$I$822,$A14,'Données'!$D$2:$D$822,1)</f>
        <v>103129.48</v>
      </c>
      <c r="G14" s="20">
        <v>5</v>
      </c>
    </row>
    <row r="15" spans="1:7">
      <c r="A15" s="19" t="s">
        <v>999</v>
      </c>
      <c r="B15" s="20">
        <f>COUNTIFS('Données'!$I$2:$I$822,$A15,'Données'!$D$2:$D$822,1)</f>
        <v>7</v>
      </c>
      <c r="C15" s="22">
        <f>IFERROR(B15/SUM($B$5:$B$17),0)</f>
        <v>0.034653465346534656</v>
      </c>
      <c r="D15" s="22">
        <f>SUM($C$5:C15)</f>
        <v>0.9455445544554455</v>
      </c>
      <c r="E15" s="21">
        <f>SUMIFS('Données'!$N$2:$N$822,'Données'!$I$2:$I$822,$A15,'Données'!$D$2:$D$822,1)</f>
        <v>38.3</v>
      </c>
      <c r="F15" s="23">
        <f>SUMIFS('Données'!$O$2:$O$822,'Données'!$I$2:$I$822,$A15,'Données'!$D$2:$D$822,1)</f>
        <v>43909.04</v>
      </c>
      <c r="G15" s="20">
        <v>4</v>
      </c>
    </row>
    <row r="16" spans="1:7">
      <c r="A16" s="19" t="s">
        <v>995</v>
      </c>
      <c r="B16" s="20">
        <f>COUNTIFS('Données'!$I$2:$I$822,$A16,'Données'!$D$2:$D$822,1)</f>
        <v>6</v>
      </c>
      <c r="C16" s="22">
        <f>IFERROR(B16/SUM($B$5:$B$17),0)</f>
        <v>0.0297029702970297</v>
      </c>
      <c r="D16" s="22">
        <f>SUM($C$5:C16)</f>
        <v>0.9752475247524752</v>
      </c>
      <c r="E16" s="21">
        <f>SUMIFS('Données'!$N$2:$N$822,'Données'!$I$2:$I$822,$A16,'Données'!$D$2:$D$822,1)</f>
        <v>17.3</v>
      </c>
      <c r="F16" s="23">
        <f>SUMIFS('Données'!$O$2:$O$822,'Données'!$I$2:$I$822,$A16,'Données'!$D$2:$D$822,1)</f>
        <v>46327.49</v>
      </c>
      <c r="G16" s="20">
        <v>5</v>
      </c>
    </row>
    <row r="17" spans="1:7">
      <c r="A17" s="19" t="s">
        <v>994</v>
      </c>
      <c r="B17" s="20">
        <f>COUNTIFS('Données'!$I$2:$I$822,$A17,'Données'!$D$2:$D$822,1)</f>
        <v>5</v>
      </c>
      <c r="C17" s="22">
        <f>IFERROR(B17/SUM($B$5:$B$17),0)</f>
        <v>0.024752475247524754</v>
      </c>
      <c r="D17" s="22">
        <f>SUM($C$5:C17)</f>
        <v>1.0</v>
      </c>
      <c r="E17" s="21">
        <f>SUMIFS('Données'!$N$2:$N$822,'Données'!$I$2:$I$822,$A17,'Données'!$D$2:$D$822,1)</f>
        <v>17.400000000000002</v>
      </c>
      <c r="F17" s="23">
        <f>SUMIFS('Données'!$O$2:$O$822,'Données'!$I$2:$I$822,$A17,'Données'!$D$2:$D$822,1)</f>
        <v>24566.58</v>
      </c>
      <c r="G17" s="20">
        <v>4</v>
      </c>
    </row>
  </sheetData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"/>
  <sheetViews>
    <sheetView showGridLines="0" zoomScale="90" zoomScaleNormal="90" workbookViewId="0"/>
  </sheetViews>
  <sheetFormatPr defaultRowHeight="15"/>
  <cols>
    <col min="1" max="1" width="12.7109375" customWidth="1"/>
    <col min="2" max="2" width="30.7109375" customWidth="1"/>
    <col min="3" max="3" width="22.7109375" customWidth="1"/>
    <col min="4" max="5" width="11.7109375" customWidth="1"/>
    <col min="6" max="6" width="12.7109375" customWidth="1"/>
    <col min="7" max="7" width="10.7109375" customWidth="1"/>
    <col min="8" max="9" width="12.7109375" customWidth="1"/>
    <col min="10" max="10" width="60.7109375" customWidth="1"/>
  </cols>
  <sheetData>
    <row r="1" spans="1:10">
      <c r="A1" s="1" t="s">
        <v>1053</v>
      </c>
    </row>
    <row r="2" spans="1:10">
      <c r="A2" s="2" t="s">
        <v>1054</v>
      </c>
    </row>
    <row r="4" spans="1:10" ht="30" customHeight="1">
      <c r="A4" s="12" t="s">
        <v>833</v>
      </c>
      <c r="B4" s="12" t="s">
        <v>857</v>
      </c>
      <c r="C4" s="12" t="s">
        <v>988</v>
      </c>
      <c r="D4" s="12" t="s">
        <v>1055</v>
      </c>
      <c r="E4" s="12" t="s">
        <v>1056</v>
      </c>
      <c r="F4" s="12" t="s">
        <v>1057</v>
      </c>
      <c r="G4" s="12" t="s">
        <v>1011</v>
      </c>
      <c r="H4" s="12" t="s">
        <v>1012</v>
      </c>
      <c r="I4" s="12" t="s">
        <v>1058</v>
      </c>
      <c r="J4" s="12" t="s">
        <v>1059</v>
      </c>
    </row>
    <row r="5" spans="1:10">
      <c r="A5" s="19" t="s">
        <v>843</v>
      </c>
      <c r="B5" s="19" t="s">
        <v>867</v>
      </c>
      <c r="C5" s="19" t="s">
        <v>1000</v>
      </c>
      <c r="D5" s="20">
        <v>21</v>
      </c>
      <c r="E5" s="20">
        <v>18</v>
      </c>
      <c r="F5" s="21">
        <v>15</v>
      </c>
      <c r="G5" s="21">
        <v>76.90000000000001</v>
      </c>
      <c r="H5" s="23">
        <v>55094</v>
      </c>
      <c r="I5" s="24">
        <v>46265</v>
      </c>
      <c r="J5" s="14" t="s">
        <v>1060</v>
      </c>
    </row>
    <row r="6" spans="1:10">
      <c r="A6" s="19" t="s">
        <v>844</v>
      </c>
      <c r="B6" s="19" t="s">
        <v>868</v>
      </c>
      <c r="C6" s="19" t="s">
        <v>996</v>
      </c>
      <c r="D6" s="20">
        <v>12</v>
      </c>
      <c r="E6" s="20">
        <v>7</v>
      </c>
      <c r="F6" s="21">
        <v>31</v>
      </c>
      <c r="G6" s="21">
        <v>36.9</v>
      </c>
      <c r="H6" s="23">
        <v>35466.48</v>
      </c>
      <c r="I6" s="24">
        <v>46265</v>
      </c>
      <c r="J6" s="14" t="s">
        <v>1061</v>
      </c>
    </row>
    <row r="7" spans="1:10">
      <c r="A7" s="19" t="s">
        <v>839</v>
      </c>
      <c r="B7" s="19" t="s">
        <v>863</v>
      </c>
      <c r="C7" s="19" t="s">
        <v>990</v>
      </c>
      <c r="D7" s="20">
        <v>7</v>
      </c>
      <c r="E7" s="20">
        <v>2</v>
      </c>
      <c r="F7" s="21">
        <v>45.5</v>
      </c>
      <c r="G7" s="21">
        <v>33</v>
      </c>
      <c r="H7" s="23">
        <v>22021.75</v>
      </c>
      <c r="I7" s="24">
        <v>46254</v>
      </c>
      <c r="J7" s="14" t="s">
        <v>1062</v>
      </c>
    </row>
    <row r="8" spans="1:10">
      <c r="A8" s="19" t="s">
        <v>842</v>
      </c>
      <c r="B8" s="19" t="s">
        <v>866</v>
      </c>
      <c r="C8" s="19" t="s">
        <v>1001</v>
      </c>
      <c r="D8" s="20">
        <v>6</v>
      </c>
      <c r="E8" s="20">
        <v>3</v>
      </c>
      <c r="F8" s="21">
        <v>40.4</v>
      </c>
      <c r="G8" s="21">
        <v>26.7</v>
      </c>
      <c r="H8" s="23">
        <v>43640.66</v>
      </c>
      <c r="I8" s="24">
        <v>46256</v>
      </c>
      <c r="J8" s="14" t="s">
        <v>1063</v>
      </c>
    </row>
    <row r="9" spans="1:10">
      <c r="A9" s="19" t="s">
        <v>843</v>
      </c>
      <c r="B9" s="19" t="s">
        <v>867</v>
      </c>
      <c r="C9" s="19" t="s">
        <v>990</v>
      </c>
      <c r="D9" s="20">
        <v>5</v>
      </c>
      <c r="E9" s="20">
        <v>2</v>
      </c>
      <c r="F9" s="21">
        <v>59</v>
      </c>
      <c r="G9" s="21">
        <v>6.3</v>
      </c>
      <c r="H9" s="23">
        <v>8904.41</v>
      </c>
      <c r="I9" s="24">
        <v>46141</v>
      </c>
      <c r="J9" s="14" t="s">
        <v>1064</v>
      </c>
    </row>
    <row r="10" spans="1:10">
      <c r="A10" s="19" t="s">
        <v>835</v>
      </c>
      <c r="B10" s="19" t="s">
        <v>859</v>
      </c>
      <c r="C10" s="19" t="s">
        <v>990</v>
      </c>
      <c r="D10" s="20">
        <v>4</v>
      </c>
      <c r="E10" s="20">
        <v>2</v>
      </c>
      <c r="F10" s="21">
        <v>69</v>
      </c>
      <c r="G10" s="21">
        <v>43.2</v>
      </c>
      <c r="H10" s="23">
        <v>24146.59</v>
      </c>
      <c r="I10" s="24">
        <v>46226</v>
      </c>
      <c r="J10" s="14" t="s">
        <v>1065</v>
      </c>
    </row>
    <row r="11" spans="1:10">
      <c r="A11" s="19" t="s">
        <v>848</v>
      </c>
      <c r="B11" s="19" t="s">
        <v>872</v>
      </c>
      <c r="C11" s="19" t="s">
        <v>1002</v>
      </c>
      <c r="D11" s="20">
        <v>4</v>
      </c>
      <c r="E11" s="20">
        <v>2</v>
      </c>
      <c r="F11" s="21">
        <v>65</v>
      </c>
      <c r="G11" s="21">
        <v>40.2</v>
      </c>
      <c r="H11" s="23">
        <v>73932.55</v>
      </c>
      <c r="I11" s="24">
        <v>46256</v>
      </c>
      <c r="J11" s="14" t="s">
        <v>1066</v>
      </c>
    </row>
    <row r="12" spans="1:10">
      <c r="A12" s="19" t="s">
        <v>842</v>
      </c>
      <c r="B12" s="19" t="s">
        <v>866</v>
      </c>
      <c r="C12" s="19" t="s">
        <v>998</v>
      </c>
      <c r="D12" s="20">
        <v>4</v>
      </c>
      <c r="E12" s="20">
        <v>2</v>
      </c>
      <c r="F12" s="21">
        <v>85.7</v>
      </c>
      <c r="G12" s="21">
        <v>20.2</v>
      </c>
      <c r="H12" s="23">
        <v>26879.4</v>
      </c>
      <c r="I12" s="24">
        <v>46243</v>
      </c>
      <c r="J12" s="14" t="s">
        <v>1067</v>
      </c>
    </row>
    <row r="13" spans="1:10">
      <c r="A13" s="19" t="s">
        <v>838</v>
      </c>
      <c r="B13" s="19" t="s">
        <v>862</v>
      </c>
      <c r="C13" s="19" t="s">
        <v>1000</v>
      </c>
      <c r="D13" s="20">
        <v>4</v>
      </c>
      <c r="E13" s="20">
        <v>2</v>
      </c>
      <c r="F13" s="21">
        <v>40.3</v>
      </c>
      <c r="G13" s="21">
        <v>6.9</v>
      </c>
      <c r="H13" s="23">
        <v>14142.57</v>
      </c>
      <c r="I13" s="24">
        <v>46151</v>
      </c>
      <c r="J13" s="14" t="s">
        <v>1068</v>
      </c>
    </row>
  </sheetData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showGridLines="0" zoomScale="90" zoomScaleNormal="90" workbookViewId="0"/>
  </sheetViews>
  <sheetFormatPr defaultRowHeight="15"/>
  <cols>
    <col min="1" max="1" width="12.7109375" customWidth="1"/>
    <col min="2" max="3" width="9.7109375" customWidth="1"/>
    <col min="4" max="5" width="11.7109375" customWidth="1"/>
    <col min="6" max="6" width="10.7109375" customWidth="1"/>
    <col min="7" max="7" width="13.7109375" customWidth="1"/>
  </cols>
  <sheetData>
    <row r="1" spans="1:7">
      <c r="A1" s="1" t="s">
        <v>1069</v>
      </c>
    </row>
    <row r="3" spans="1:7" ht="30" customHeight="1">
      <c r="A3" s="12" t="s">
        <v>1070</v>
      </c>
      <c r="B3" s="12" t="s">
        <v>1071</v>
      </c>
      <c r="C3" s="12" t="s">
        <v>1041</v>
      </c>
      <c r="D3" s="12" t="s">
        <v>1072</v>
      </c>
      <c r="E3" s="12" t="s">
        <v>1073</v>
      </c>
      <c r="F3" s="12" t="s">
        <v>1011</v>
      </c>
      <c r="G3" s="12" t="s">
        <v>1012</v>
      </c>
    </row>
    <row r="4" spans="1:7">
      <c r="A4" s="25">
        <v>45901</v>
      </c>
      <c r="B4" s="20">
        <v>60</v>
      </c>
      <c r="C4" s="20">
        <v>9</v>
      </c>
      <c r="D4" s="20">
        <v>51</v>
      </c>
      <c r="E4" s="22">
        <f>IFERROR(D4/B4,0)</f>
        <v>0.85</v>
      </c>
      <c r="F4" s="21">
        <v>41.2</v>
      </c>
      <c r="G4" s="23">
        <v>89269.3</v>
      </c>
    </row>
    <row r="5" spans="1:7">
      <c r="A5" s="25">
        <v>45931</v>
      </c>
      <c r="B5" s="20">
        <v>68</v>
      </c>
      <c r="C5" s="20">
        <v>13</v>
      </c>
      <c r="D5" s="20">
        <v>55</v>
      </c>
      <c r="E5" s="22">
        <f>IFERROR(D5/B5,0)</f>
        <v>0.8088235294117647</v>
      </c>
      <c r="F5" s="21">
        <v>41.18</v>
      </c>
      <c r="G5" s="23">
        <v>107225.19</v>
      </c>
    </row>
    <row r="6" spans="1:7">
      <c r="A6" s="25">
        <v>45962</v>
      </c>
      <c r="B6" s="20">
        <v>62</v>
      </c>
      <c r="C6" s="20">
        <v>16</v>
      </c>
      <c r="D6" s="20">
        <v>46</v>
      </c>
      <c r="E6" s="22">
        <f>IFERROR(D6/B6,0)</f>
        <v>0.7419354838709677</v>
      </c>
      <c r="F6" s="21">
        <v>53.5</v>
      </c>
      <c r="G6" s="23">
        <v>89842.66</v>
      </c>
    </row>
    <row r="7" spans="1:7">
      <c r="A7" s="25">
        <v>45992</v>
      </c>
      <c r="B7" s="20">
        <v>73</v>
      </c>
      <c r="C7" s="20">
        <v>17</v>
      </c>
      <c r="D7" s="20">
        <v>56</v>
      </c>
      <c r="E7" s="22">
        <f>IFERROR(D7/B7,0)</f>
        <v>0.7671232876712328</v>
      </c>
      <c r="F7" s="21">
        <v>73.59999999999999</v>
      </c>
      <c r="G7" s="23">
        <v>123397.24</v>
      </c>
    </row>
    <row r="8" spans="1:7">
      <c r="A8" s="25">
        <v>46023</v>
      </c>
      <c r="B8" s="20">
        <v>71</v>
      </c>
      <c r="C8" s="20">
        <v>18</v>
      </c>
      <c r="D8" s="20">
        <v>53</v>
      </c>
      <c r="E8" s="22">
        <f>IFERROR(D8/B8,0)</f>
        <v>0.7464788732394366</v>
      </c>
      <c r="F8" s="21">
        <v>123.4</v>
      </c>
      <c r="G8" s="23">
        <v>143026.68</v>
      </c>
    </row>
    <row r="9" spans="1:7">
      <c r="A9" s="25">
        <v>46054</v>
      </c>
      <c r="B9" s="20">
        <v>72</v>
      </c>
      <c r="C9" s="20">
        <v>24</v>
      </c>
      <c r="D9" s="20">
        <v>48</v>
      </c>
      <c r="E9" s="22">
        <f>IFERROR(D9/B9,0)</f>
        <v>0.6666666666666666</v>
      </c>
      <c r="F9" s="21">
        <v>112.5</v>
      </c>
      <c r="G9" s="23">
        <v>190635.75</v>
      </c>
    </row>
    <row r="10" spans="1:7">
      <c r="A10" s="25">
        <v>46082</v>
      </c>
      <c r="B10" s="20">
        <v>75</v>
      </c>
      <c r="C10" s="20">
        <v>17</v>
      </c>
      <c r="D10" s="20">
        <v>58</v>
      </c>
      <c r="E10" s="22">
        <f>IFERROR(D10/B10,0)</f>
        <v>0.7733333333333333</v>
      </c>
      <c r="F10" s="21">
        <v>69.10000000000001</v>
      </c>
      <c r="G10" s="23">
        <v>148791.03</v>
      </c>
    </row>
    <row r="11" spans="1:7">
      <c r="A11" s="25">
        <v>46113</v>
      </c>
      <c r="B11" s="20">
        <v>57</v>
      </c>
      <c r="C11" s="20">
        <v>13</v>
      </c>
      <c r="D11" s="20">
        <v>44</v>
      </c>
      <c r="E11" s="22">
        <f>IFERROR(D11/B11,0)</f>
        <v>0.7719298245614035</v>
      </c>
      <c r="F11" s="21">
        <v>52.9</v>
      </c>
      <c r="G11" s="23">
        <v>79868.15000000001</v>
      </c>
    </row>
    <row r="12" spans="1:7">
      <c r="A12" s="25">
        <v>46143</v>
      </c>
      <c r="B12" s="20">
        <v>69</v>
      </c>
      <c r="C12" s="20">
        <v>15</v>
      </c>
      <c r="D12" s="20">
        <v>54</v>
      </c>
      <c r="E12" s="22">
        <f>IFERROR(D12/B12,0)</f>
        <v>0.782608695652174</v>
      </c>
      <c r="F12" s="21">
        <v>65.97999999999999</v>
      </c>
      <c r="G12" s="23">
        <v>84256.24000000001</v>
      </c>
    </row>
    <row r="13" spans="1:7">
      <c r="A13" s="25">
        <v>46174</v>
      </c>
      <c r="B13" s="20">
        <v>66</v>
      </c>
      <c r="C13" s="20">
        <v>21</v>
      </c>
      <c r="D13" s="20">
        <v>45</v>
      </c>
      <c r="E13" s="22">
        <f>IFERROR(D13/B13,0)</f>
        <v>0.6818181818181818</v>
      </c>
      <c r="F13" s="21">
        <v>103.5</v>
      </c>
      <c r="G13" s="23">
        <v>132681.57</v>
      </c>
    </row>
    <row r="14" spans="1:7">
      <c r="A14" s="25">
        <v>46204</v>
      </c>
      <c r="B14" s="20">
        <v>77</v>
      </c>
      <c r="C14" s="20">
        <v>20</v>
      </c>
      <c r="D14" s="20">
        <v>57</v>
      </c>
      <c r="E14" s="22">
        <f>IFERROR(D14/B14,0)</f>
        <v>0.7402597402597403</v>
      </c>
      <c r="F14" s="21">
        <v>100.5</v>
      </c>
      <c r="G14" s="23">
        <v>113883.88</v>
      </c>
    </row>
    <row r="15" spans="1:7">
      <c r="A15" s="25">
        <v>46235</v>
      </c>
      <c r="B15" s="20">
        <v>71</v>
      </c>
      <c r="C15" s="20">
        <v>19</v>
      </c>
      <c r="D15" s="20">
        <v>52</v>
      </c>
      <c r="E15" s="22">
        <f>IFERROR(D15/B15,0)</f>
        <v>0.7323943661971831</v>
      </c>
      <c r="F15" s="21">
        <v>138.6</v>
      </c>
      <c r="G15" s="23">
        <v>151449.03</v>
      </c>
    </row>
  </sheetData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9"/>
  <sheetViews>
    <sheetView showGridLines="0" zoomScale="90" zoomScaleNormal="90" workbookViewId="0">
      <pane ySplit="15" topLeftCell="A16" activePane="bottomLeft" state="frozen"/>
      <selection pane="bottomLeft"/>
    </sheetView>
  </sheetViews>
  <sheetFormatPr defaultRowHeight="15" x14ac:dyDescent="0.25"/>
  <cols>
    <col min="1" max="1" width="12.7109375" customWidth="1"/>
    <col min="2" max="2" width="8.7109375" customWidth="1"/>
    <col min="3" max="3" width="14.7109375" customWidth="1"/>
    <col min="4" max="4" width="12.7109375" customWidth="1"/>
    <col min="5" max="5" width="30.7109375" customWidth="1"/>
    <col min="6" max="6" width="38.7109375" customWidth="1"/>
    <col min="7" max="7" width="8.7109375" customWidth="1"/>
    <col min="8" max="8" width="10.7109375" customWidth="1"/>
    <col min="9" max="10" width="12.7109375" customWidth="1"/>
    <col min="11" max="11" width="9.7109375" customWidth="1"/>
    <col min="12" max="12" width="8.7109375" customWidth="1"/>
  </cols>
  <sheetData>
    <row r="1" spans="1:12" x14ac:dyDescent="0.25">
      <c r="A1" s="1" t="s">
        <v>1074</v>
      </c>
    </row>
    <row r="2" spans="1:12" x14ac:dyDescent="0.25">
      <c r="A2" s="2" t="s">
        <v>1075</v>
      </c>
    </row>
    <row r="4" spans="1:12" x14ac:dyDescent="0.25">
      <c r="A4" s="12" t="s">
        <v>1076</v>
      </c>
      <c r="B4" s="12" t="s">
        <v>1071</v>
      </c>
      <c r="D4" s="12" t="s">
        <v>1081</v>
      </c>
      <c r="E4" s="12" t="s">
        <v>1082</v>
      </c>
      <c r="F4" s="12" t="s">
        <v>1083</v>
      </c>
      <c r="G4" s="12" t="s">
        <v>1084</v>
      </c>
      <c r="H4" s="12" t="s">
        <v>1085</v>
      </c>
    </row>
    <row r="5" spans="1:12" x14ac:dyDescent="0.25">
      <c r="A5" s="19" t="s">
        <v>1077</v>
      </c>
      <c r="B5" s="20">
        <v>22</v>
      </c>
      <c r="D5" s="19" t="s">
        <v>1086</v>
      </c>
      <c r="E5" s="20">
        <v>18</v>
      </c>
      <c r="F5" s="20">
        <v>14</v>
      </c>
      <c r="G5" s="20">
        <v>15</v>
      </c>
      <c r="H5" s="20">
        <v>219</v>
      </c>
    </row>
    <row r="6" spans="1:12" x14ac:dyDescent="0.25">
      <c r="A6" s="19" t="s">
        <v>1078</v>
      </c>
      <c r="B6" s="20">
        <v>21</v>
      </c>
      <c r="D6" s="19" t="s">
        <v>1087</v>
      </c>
      <c r="E6" s="20">
        <v>17</v>
      </c>
      <c r="F6" s="20">
        <v>11</v>
      </c>
      <c r="G6" s="20">
        <v>4</v>
      </c>
      <c r="H6" s="20">
        <v>327</v>
      </c>
    </row>
    <row r="7" spans="1:12" x14ac:dyDescent="0.25">
      <c r="A7" s="19" t="s">
        <v>1079</v>
      </c>
      <c r="B7" s="20">
        <v>13</v>
      </c>
      <c r="D7" s="19" t="s">
        <v>1088</v>
      </c>
      <c r="E7" s="20">
        <v>13</v>
      </c>
      <c r="F7" s="20">
        <v>7</v>
      </c>
      <c r="G7" s="20">
        <v>5</v>
      </c>
      <c r="H7" s="20">
        <v>164</v>
      </c>
    </row>
    <row r="8" spans="1:12" x14ac:dyDescent="0.25">
      <c r="A8" s="19" t="s">
        <v>1080</v>
      </c>
      <c r="B8" s="20">
        <v>18</v>
      </c>
      <c r="D8" s="19" t="s">
        <v>1089</v>
      </c>
      <c r="E8" s="20">
        <v>9</v>
      </c>
      <c r="F8" s="20">
        <v>6</v>
      </c>
      <c r="G8" s="20">
        <v>3</v>
      </c>
      <c r="H8" s="20">
        <v>309</v>
      </c>
    </row>
    <row r="9" spans="1:12" x14ac:dyDescent="0.25">
      <c r="D9" s="19" t="s">
        <v>1090</v>
      </c>
      <c r="E9" s="20">
        <v>7</v>
      </c>
      <c r="F9" s="20">
        <v>6</v>
      </c>
      <c r="G9" s="20">
        <v>3</v>
      </c>
      <c r="H9" s="20">
        <v>224</v>
      </c>
    </row>
    <row r="10" spans="1:12" x14ac:dyDescent="0.25">
      <c r="D10" s="19" t="s">
        <v>1091</v>
      </c>
      <c r="E10" s="20">
        <v>5</v>
      </c>
      <c r="F10" s="20">
        <v>4</v>
      </c>
      <c r="G10" s="20">
        <v>1</v>
      </c>
      <c r="H10" s="20">
        <v>336</v>
      </c>
    </row>
    <row r="11" spans="1:12" x14ac:dyDescent="0.25">
      <c r="D11" s="19" t="s">
        <v>1092</v>
      </c>
      <c r="E11" s="20">
        <v>3</v>
      </c>
      <c r="F11" s="20">
        <v>3</v>
      </c>
      <c r="G11" s="20">
        <v>2</v>
      </c>
      <c r="H11" s="20">
        <v>303</v>
      </c>
    </row>
    <row r="12" spans="1:12" x14ac:dyDescent="0.25">
      <c r="D12" s="19" t="s">
        <v>1093</v>
      </c>
      <c r="E12" s="20">
        <v>2</v>
      </c>
      <c r="F12" s="20">
        <v>1</v>
      </c>
      <c r="G12" s="20">
        <v>1</v>
      </c>
      <c r="H12" s="20">
        <v>163</v>
      </c>
    </row>
    <row r="15" spans="1:12" ht="30" customHeight="1" x14ac:dyDescent="0.25">
      <c r="A15" s="12" t="s">
        <v>0</v>
      </c>
      <c r="B15" s="12" t="s">
        <v>1094</v>
      </c>
      <c r="C15" s="12" t="s">
        <v>1095</v>
      </c>
      <c r="D15" s="12" t="s">
        <v>833</v>
      </c>
      <c r="E15" s="12" t="s">
        <v>857</v>
      </c>
      <c r="F15" s="12" t="s">
        <v>905</v>
      </c>
      <c r="G15" s="12" t="s">
        <v>1020</v>
      </c>
      <c r="H15" s="12" t="s">
        <v>1013</v>
      </c>
      <c r="I15" s="12" t="s">
        <v>1096</v>
      </c>
      <c r="J15" s="12" t="s">
        <v>1097</v>
      </c>
      <c r="K15" s="12" t="s">
        <v>1098</v>
      </c>
      <c r="L15" s="12" t="s">
        <v>1099</v>
      </c>
    </row>
    <row r="16" spans="1:12" x14ac:dyDescent="0.25">
      <c r="A16" s="19" t="s">
        <v>39</v>
      </c>
      <c r="B16" s="19" t="s">
        <v>823</v>
      </c>
      <c r="C16" s="19" t="s">
        <v>1091</v>
      </c>
      <c r="D16" s="19" t="s">
        <v>841</v>
      </c>
      <c r="E16" s="19" t="s">
        <v>865</v>
      </c>
      <c r="F16" s="19" t="s">
        <v>917</v>
      </c>
      <c r="G16" s="19" t="s">
        <v>1021</v>
      </c>
      <c r="H16" s="19" t="s">
        <v>1016</v>
      </c>
      <c r="I16" s="24">
        <v>45919</v>
      </c>
      <c r="J16" s="24">
        <v>45929</v>
      </c>
      <c r="K16" s="20">
        <v>336</v>
      </c>
      <c r="L16" s="20">
        <v>347</v>
      </c>
    </row>
    <row r="17" spans="1:12" x14ac:dyDescent="0.25">
      <c r="A17" s="19" t="s">
        <v>57</v>
      </c>
      <c r="B17" s="19" t="s">
        <v>823</v>
      </c>
      <c r="C17" s="19" t="s">
        <v>1087</v>
      </c>
      <c r="D17" s="19" t="s">
        <v>844</v>
      </c>
      <c r="E17" s="19" t="s">
        <v>868</v>
      </c>
      <c r="F17" s="19" t="s">
        <v>906</v>
      </c>
      <c r="G17" s="19" t="s">
        <v>1021</v>
      </c>
      <c r="H17" s="19" t="s">
        <v>1016</v>
      </c>
      <c r="I17" s="24">
        <v>45928</v>
      </c>
      <c r="J17" s="24">
        <v>45938</v>
      </c>
      <c r="K17" s="20">
        <v>327</v>
      </c>
      <c r="L17" s="20">
        <v>338</v>
      </c>
    </row>
    <row r="18" spans="1:12" x14ac:dyDescent="0.25">
      <c r="A18" s="19" t="s">
        <v>98</v>
      </c>
      <c r="B18" s="19" t="s">
        <v>824</v>
      </c>
      <c r="C18" s="19" t="s">
        <v>1089</v>
      </c>
      <c r="D18" s="19" t="s">
        <v>854</v>
      </c>
      <c r="E18" s="19" t="s">
        <v>878</v>
      </c>
      <c r="F18" s="19" t="s">
        <v>914</v>
      </c>
      <c r="G18" s="19" t="s">
        <v>1021</v>
      </c>
      <c r="H18" s="19" t="s">
        <v>1016</v>
      </c>
      <c r="I18" s="24">
        <v>45946</v>
      </c>
      <c r="J18" s="24">
        <v>45956</v>
      </c>
      <c r="K18" s="20">
        <v>309</v>
      </c>
      <c r="L18" s="20">
        <v>320</v>
      </c>
    </row>
    <row r="19" spans="1:12" x14ac:dyDescent="0.25">
      <c r="A19" s="19" t="s">
        <v>108</v>
      </c>
      <c r="B19" s="19" t="s">
        <v>823</v>
      </c>
      <c r="C19" s="19" t="s">
        <v>1092</v>
      </c>
      <c r="D19" s="19" t="s">
        <v>837</v>
      </c>
      <c r="E19" s="19" t="s">
        <v>861</v>
      </c>
      <c r="F19" s="19" t="s">
        <v>909</v>
      </c>
      <c r="G19" s="19" t="s">
        <v>1022</v>
      </c>
      <c r="H19" s="19" t="s">
        <v>1016</v>
      </c>
      <c r="I19" s="24">
        <v>45952</v>
      </c>
      <c r="J19" s="24">
        <v>45962</v>
      </c>
      <c r="K19" s="20">
        <v>303</v>
      </c>
      <c r="L19" s="20">
        <v>314</v>
      </c>
    </row>
    <row r="20" spans="1:12" x14ac:dyDescent="0.25">
      <c r="A20" s="19" t="s">
        <v>142</v>
      </c>
      <c r="B20" s="19" t="s">
        <v>823</v>
      </c>
      <c r="C20" s="19" t="s">
        <v>1091</v>
      </c>
      <c r="D20" s="19" t="s">
        <v>841</v>
      </c>
      <c r="E20" s="19" t="s">
        <v>865</v>
      </c>
      <c r="F20" s="19" t="s">
        <v>906</v>
      </c>
      <c r="G20" s="19" t="s">
        <v>1021</v>
      </c>
      <c r="H20" s="19" t="s">
        <v>1016</v>
      </c>
      <c r="I20" s="24">
        <v>45967</v>
      </c>
      <c r="J20" s="24">
        <v>45977</v>
      </c>
      <c r="K20" s="20">
        <v>288</v>
      </c>
      <c r="L20" s="20">
        <v>299</v>
      </c>
    </row>
    <row r="21" spans="1:12" x14ac:dyDescent="0.25">
      <c r="A21" s="19" t="s">
        <v>283</v>
      </c>
      <c r="B21" s="19" t="s">
        <v>823</v>
      </c>
      <c r="C21" s="19" t="s">
        <v>1090</v>
      </c>
      <c r="D21" s="19" t="s">
        <v>842</v>
      </c>
      <c r="E21" s="19" t="s">
        <v>866</v>
      </c>
      <c r="F21" s="19" t="s">
        <v>911</v>
      </c>
      <c r="G21" s="19" t="s">
        <v>1021</v>
      </c>
      <c r="H21" s="19" t="s">
        <v>1016</v>
      </c>
      <c r="I21" s="24">
        <v>46031</v>
      </c>
      <c r="J21" s="24">
        <v>46041</v>
      </c>
      <c r="K21" s="20">
        <v>224</v>
      </c>
      <c r="L21" s="20">
        <v>235</v>
      </c>
    </row>
    <row r="22" spans="1:12" x14ac:dyDescent="0.25">
      <c r="A22" s="19" t="s">
        <v>317</v>
      </c>
      <c r="B22" s="19" t="s">
        <v>826</v>
      </c>
      <c r="C22" s="19" t="s">
        <v>1086</v>
      </c>
      <c r="D22" s="19" t="s">
        <v>838</v>
      </c>
      <c r="E22" s="19" t="s">
        <v>862</v>
      </c>
      <c r="F22" s="19" t="s">
        <v>959</v>
      </c>
      <c r="G22" s="19" t="s">
        <v>1024</v>
      </c>
      <c r="H22" s="19" t="s">
        <v>1016</v>
      </c>
      <c r="I22" s="24">
        <v>46046</v>
      </c>
      <c r="J22" s="24">
        <v>46046</v>
      </c>
      <c r="K22" s="20">
        <v>219</v>
      </c>
      <c r="L22" s="20">
        <v>220</v>
      </c>
    </row>
    <row r="23" spans="1:12" x14ac:dyDescent="0.25">
      <c r="A23" s="19" t="s">
        <v>307</v>
      </c>
      <c r="B23" s="19" t="s">
        <v>823</v>
      </c>
      <c r="C23" s="19" t="s">
        <v>1087</v>
      </c>
      <c r="D23" s="19" t="s">
        <v>839</v>
      </c>
      <c r="E23" s="19" t="s">
        <v>863</v>
      </c>
      <c r="F23" s="19" t="s">
        <v>924</v>
      </c>
      <c r="G23" s="19" t="s">
        <v>1021</v>
      </c>
      <c r="H23" s="19" t="s">
        <v>1016</v>
      </c>
      <c r="I23" s="24">
        <v>46041</v>
      </c>
      <c r="J23" s="24">
        <v>46051</v>
      </c>
      <c r="K23" s="20">
        <v>214</v>
      </c>
      <c r="L23" s="20">
        <v>225</v>
      </c>
    </row>
    <row r="24" spans="1:12" x14ac:dyDescent="0.25">
      <c r="A24" s="19" t="s">
        <v>366</v>
      </c>
      <c r="B24" s="19" t="s">
        <v>826</v>
      </c>
      <c r="C24" s="19" t="s">
        <v>1090</v>
      </c>
      <c r="D24" s="19" t="s">
        <v>842</v>
      </c>
      <c r="E24" s="19" t="s">
        <v>866</v>
      </c>
      <c r="F24" s="19" t="s">
        <v>967</v>
      </c>
      <c r="G24" s="19" t="s">
        <v>1024</v>
      </c>
      <c r="H24" s="19" t="s">
        <v>1016</v>
      </c>
      <c r="I24" s="24">
        <v>46063</v>
      </c>
      <c r="J24" s="24">
        <v>46065</v>
      </c>
      <c r="K24" s="20">
        <v>200</v>
      </c>
      <c r="L24" s="20">
        <v>203</v>
      </c>
    </row>
    <row r="25" spans="1:12" x14ac:dyDescent="0.25">
      <c r="A25" s="19" t="s">
        <v>359</v>
      </c>
      <c r="B25" s="19" t="s">
        <v>824</v>
      </c>
      <c r="C25" s="19" t="s">
        <v>1087</v>
      </c>
      <c r="D25" s="19" t="s">
        <v>834</v>
      </c>
      <c r="E25" s="19" t="s">
        <v>858</v>
      </c>
      <c r="F25" s="19" t="s">
        <v>908</v>
      </c>
      <c r="G25" s="19" t="s">
        <v>1022</v>
      </c>
      <c r="H25" s="19" t="s">
        <v>1016</v>
      </c>
      <c r="I25" s="24">
        <v>46061</v>
      </c>
      <c r="J25" s="24">
        <v>46071</v>
      </c>
      <c r="K25" s="20">
        <v>194</v>
      </c>
      <c r="L25" s="20">
        <v>205</v>
      </c>
    </row>
    <row r="26" spans="1:12" x14ac:dyDescent="0.25">
      <c r="A26" s="19" t="s">
        <v>377</v>
      </c>
      <c r="B26" s="19" t="s">
        <v>825</v>
      </c>
      <c r="C26" s="19" t="s">
        <v>1086</v>
      </c>
      <c r="D26" s="19" t="s">
        <v>841</v>
      </c>
      <c r="E26" s="19" t="s">
        <v>865</v>
      </c>
      <c r="F26" s="19" t="s">
        <v>966</v>
      </c>
      <c r="G26" s="19" t="s">
        <v>1022</v>
      </c>
      <c r="H26" s="19" t="s">
        <v>1016</v>
      </c>
      <c r="I26" s="24">
        <v>46071</v>
      </c>
      <c r="J26" s="24">
        <v>46074</v>
      </c>
      <c r="K26" s="20">
        <v>191</v>
      </c>
      <c r="L26" s="20">
        <v>195</v>
      </c>
    </row>
    <row r="27" spans="1:12" x14ac:dyDescent="0.25">
      <c r="A27" s="19" t="s">
        <v>427</v>
      </c>
      <c r="B27" s="19" t="s">
        <v>823</v>
      </c>
      <c r="C27" s="19" t="s">
        <v>1087</v>
      </c>
      <c r="D27" s="19" t="s">
        <v>835</v>
      </c>
      <c r="E27" s="19" t="s">
        <v>859</v>
      </c>
      <c r="F27" s="19" t="s">
        <v>909</v>
      </c>
      <c r="G27" s="19" t="s">
        <v>1021</v>
      </c>
      <c r="H27" s="19" t="s">
        <v>1016</v>
      </c>
      <c r="I27" s="24">
        <v>46090</v>
      </c>
      <c r="J27" s="24">
        <v>46100</v>
      </c>
      <c r="K27" s="20">
        <v>165</v>
      </c>
      <c r="L27" s="20">
        <v>176</v>
      </c>
    </row>
    <row r="28" spans="1:12" x14ac:dyDescent="0.25">
      <c r="A28" s="19" t="s">
        <v>430</v>
      </c>
      <c r="B28" s="19" t="s">
        <v>823</v>
      </c>
      <c r="C28" s="19" t="s">
        <v>1088</v>
      </c>
      <c r="D28" s="19" t="s">
        <v>855</v>
      </c>
      <c r="E28" s="19" t="s">
        <v>879</v>
      </c>
      <c r="F28" s="19" t="s">
        <v>909</v>
      </c>
      <c r="G28" s="19" t="s">
        <v>1021</v>
      </c>
      <c r="H28" s="19" t="s">
        <v>1016</v>
      </c>
      <c r="I28" s="24">
        <v>46091</v>
      </c>
      <c r="J28" s="24">
        <v>46101</v>
      </c>
      <c r="K28" s="20">
        <v>164</v>
      </c>
      <c r="L28" s="20">
        <v>175</v>
      </c>
    </row>
    <row r="29" spans="1:12" x14ac:dyDescent="0.25">
      <c r="A29" s="19" t="s">
        <v>435</v>
      </c>
      <c r="B29" s="19" t="s">
        <v>824</v>
      </c>
      <c r="C29" s="19" t="s">
        <v>1093</v>
      </c>
      <c r="D29" s="19" t="s">
        <v>852</v>
      </c>
      <c r="E29" s="19" t="s">
        <v>876</v>
      </c>
      <c r="F29" s="19" t="s">
        <v>925</v>
      </c>
      <c r="G29" s="19" t="s">
        <v>1023</v>
      </c>
      <c r="H29" s="19" t="s">
        <v>1016</v>
      </c>
      <c r="I29" s="24">
        <v>46092</v>
      </c>
      <c r="J29" s="24">
        <v>46102</v>
      </c>
      <c r="K29" s="20">
        <v>163</v>
      </c>
      <c r="L29" s="20">
        <v>174</v>
      </c>
    </row>
    <row r="30" spans="1:12" x14ac:dyDescent="0.25">
      <c r="A30" s="19" t="s">
        <v>451</v>
      </c>
      <c r="B30" s="19" t="s">
        <v>823</v>
      </c>
      <c r="C30" s="19" t="s">
        <v>1090</v>
      </c>
      <c r="D30" s="19" t="s">
        <v>842</v>
      </c>
      <c r="E30" s="19" t="s">
        <v>866</v>
      </c>
      <c r="F30" s="19" t="s">
        <v>909</v>
      </c>
      <c r="G30" s="19" t="s">
        <v>1023</v>
      </c>
      <c r="H30" s="19" t="s">
        <v>1016</v>
      </c>
      <c r="I30" s="24">
        <v>46101</v>
      </c>
      <c r="J30" s="24">
        <v>46111</v>
      </c>
      <c r="K30" s="20">
        <v>154</v>
      </c>
      <c r="L30" s="20">
        <v>165</v>
      </c>
    </row>
    <row r="31" spans="1:12" x14ac:dyDescent="0.25">
      <c r="A31" s="19" t="s">
        <v>478</v>
      </c>
      <c r="B31" s="19" t="s">
        <v>824</v>
      </c>
      <c r="C31" s="19" t="s">
        <v>1087</v>
      </c>
      <c r="D31" s="19" t="s">
        <v>839</v>
      </c>
      <c r="E31" s="19" t="s">
        <v>863</v>
      </c>
      <c r="F31" s="19" t="s">
        <v>908</v>
      </c>
      <c r="G31" s="19" t="s">
        <v>1022</v>
      </c>
      <c r="H31" s="19" t="s">
        <v>1016</v>
      </c>
      <c r="I31" s="24">
        <v>46112</v>
      </c>
      <c r="J31" s="24">
        <v>46122</v>
      </c>
      <c r="K31" s="20">
        <v>143</v>
      </c>
      <c r="L31" s="20">
        <v>154</v>
      </c>
    </row>
    <row r="32" spans="1:12" x14ac:dyDescent="0.25">
      <c r="A32" s="19" t="s">
        <v>504</v>
      </c>
      <c r="B32" s="19" t="s">
        <v>823</v>
      </c>
      <c r="C32" s="19" t="s">
        <v>1087</v>
      </c>
      <c r="D32" s="19" t="s">
        <v>839</v>
      </c>
      <c r="E32" s="19" t="s">
        <v>863</v>
      </c>
      <c r="F32" s="19" t="s">
        <v>917</v>
      </c>
      <c r="G32" s="19" t="s">
        <v>1021</v>
      </c>
      <c r="H32" s="19" t="s">
        <v>1016</v>
      </c>
      <c r="I32" s="24">
        <v>46126</v>
      </c>
      <c r="J32" s="24">
        <v>46136</v>
      </c>
      <c r="K32" s="20">
        <v>129</v>
      </c>
      <c r="L32" s="20">
        <v>140</v>
      </c>
    </row>
    <row r="33" spans="1:12" x14ac:dyDescent="0.25">
      <c r="A33" s="19" t="s">
        <v>568</v>
      </c>
      <c r="B33" s="19" t="s">
        <v>823</v>
      </c>
      <c r="C33" s="19" t="s">
        <v>1089</v>
      </c>
      <c r="D33" s="19" t="s">
        <v>847</v>
      </c>
      <c r="E33" s="19" t="s">
        <v>871</v>
      </c>
      <c r="F33" s="19" t="s">
        <v>906</v>
      </c>
      <c r="G33" s="19" t="s">
        <v>1023</v>
      </c>
      <c r="H33" s="19" t="s">
        <v>1016</v>
      </c>
      <c r="I33" s="24">
        <v>46154</v>
      </c>
      <c r="J33" s="24">
        <v>46164</v>
      </c>
      <c r="K33" s="20">
        <v>101</v>
      </c>
      <c r="L33" s="20">
        <v>112</v>
      </c>
    </row>
    <row r="34" spans="1:12" x14ac:dyDescent="0.25">
      <c r="A34" s="19" t="s">
        <v>672</v>
      </c>
      <c r="B34" s="19" t="s">
        <v>824</v>
      </c>
      <c r="C34" s="19" t="s">
        <v>1088</v>
      </c>
      <c r="D34" s="19" t="s">
        <v>855</v>
      </c>
      <c r="E34" s="19" t="s">
        <v>879</v>
      </c>
      <c r="F34" s="19" t="s">
        <v>914</v>
      </c>
      <c r="G34" s="19" t="s">
        <v>1022</v>
      </c>
      <c r="H34" s="19" t="s">
        <v>1016</v>
      </c>
      <c r="I34" s="24">
        <v>46202</v>
      </c>
      <c r="J34" s="24">
        <v>46212</v>
      </c>
      <c r="K34" s="20">
        <v>53</v>
      </c>
      <c r="L34" s="20">
        <v>64</v>
      </c>
    </row>
    <row r="35" spans="1:12" x14ac:dyDescent="0.25">
      <c r="A35" s="19" t="s">
        <v>681</v>
      </c>
      <c r="B35" s="19" t="s">
        <v>823</v>
      </c>
      <c r="C35" s="19" t="s">
        <v>1089</v>
      </c>
      <c r="D35" s="19" t="s">
        <v>847</v>
      </c>
      <c r="E35" s="19" t="s">
        <v>871</v>
      </c>
      <c r="F35" s="19" t="s">
        <v>917</v>
      </c>
      <c r="G35" s="19" t="s">
        <v>1022</v>
      </c>
      <c r="H35" s="19" t="s">
        <v>1016</v>
      </c>
      <c r="I35" s="24">
        <v>46206</v>
      </c>
      <c r="J35" s="24">
        <v>46216</v>
      </c>
      <c r="K35" s="20">
        <v>49</v>
      </c>
      <c r="L35" s="20">
        <v>60</v>
      </c>
    </row>
    <row r="36" spans="1:12" x14ac:dyDescent="0.25">
      <c r="A36" s="19" t="s">
        <v>695</v>
      </c>
      <c r="B36" s="19" t="s">
        <v>823</v>
      </c>
      <c r="C36" s="19" t="s">
        <v>1087</v>
      </c>
      <c r="D36" s="19" t="s">
        <v>839</v>
      </c>
      <c r="E36" s="19" t="s">
        <v>863</v>
      </c>
      <c r="F36" s="19" t="s">
        <v>924</v>
      </c>
      <c r="G36" s="19" t="s">
        <v>1023</v>
      </c>
      <c r="H36" s="19" t="s">
        <v>1016</v>
      </c>
      <c r="I36" s="24">
        <v>46211</v>
      </c>
      <c r="J36" s="24">
        <v>46221</v>
      </c>
      <c r="K36" s="20">
        <v>44</v>
      </c>
      <c r="L36" s="20">
        <v>55</v>
      </c>
    </row>
    <row r="37" spans="1:12" x14ac:dyDescent="0.25">
      <c r="A37" s="19" t="s">
        <v>714</v>
      </c>
      <c r="B37" s="19" t="s">
        <v>825</v>
      </c>
      <c r="C37" s="19" t="s">
        <v>1086</v>
      </c>
      <c r="D37" s="19" t="s">
        <v>840</v>
      </c>
      <c r="E37" s="19" t="s">
        <v>864</v>
      </c>
      <c r="F37" s="19" t="s">
        <v>921</v>
      </c>
      <c r="G37" s="19" t="s">
        <v>1022</v>
      </c>
      <c r="H37" s="19" t="s">
        <v>1016</v>
      </c>
      <c r="I37" s="24">
        <v>46221</v>
      </c>
      <c r="J37" s="24">
        <v>46221</v>
      </c>
      <c r="K37" s="20">
        <v>44</v>
      </c>
      <c r="L37" s="20">
        <v>45</v>
      </c>
    </row>
    <row r="38" spans="1:12" x14ac:dyDescent="0.25">
      <c r="A38" s="19" t="s">
        <v>738</v>
      </c>
      <c r="B38" s="19" t="s">
        <v>826</v>
      </c>
      <c r="C38" s="19" t="s">
        <v>1086</v>
      </c>
      <c r="D38" s="19" t="s">
        <v>837</v>
      </c>
      <c r="E38" s="19" t="s">
        <v>861</v>
      </c>
      <c r="F38" s="19" t="s">
        <v>969</v>
      </c>
      <c r="G38" s="19" t="s">
        <v>1022</v>
      </c>
      <c r="H38" s="19" t="s">
        <v>1016</v>
      </c>
      <c r="I38" s="24">
        <v>46230</v>
      </c>
      <c r="J38" s="24">
        <v>46231</v>
      </c>
      <c r="K38" s="20">
        <v>34</v>
      </c>
      <c r="L38" s="20">
        <v>36</v>
      </c>
    </row>
    <row r="39" spans="1:12" x14ac:dyDescent="0.25">
      <c r="A39" s="19" t="s">
        <v>718</v>
      </c>
      <c r="B39" s="19" t="s">
        <v>823</v>
      </c>
      <c r="C39" s="19" t="s">
        <v>1091</v>
      </c>
      <c r="D39" s="19" t="s">
        <v>841</v>
      </c>
      <c r="E39" s="19" t="s">
        <v>865</v>
      </c>
      <c r="F39" s="19" t="s">
        <v>906</v>
      </c>
      <c r="G39" s="19" t="s">
        <v>1022</v>
      </c>
      <c r="H39" s="19" t="s">
        <v>1016</v>
      </c>
      <c r="I39" s="24">
        <v>46223</v>
      </c>
      <c r="J39" s="24">
        <v>46233</v>
      </c>
      <c r="K39" s="20">
        <v>32</v>
      </c>
      <c r="L39" s="20">
        <v>43</v>
      </c>
    </row>
    <row r="40" spans="1:12" x14ac:dyDescent="0.25">
      <c r="A40" s="19" t="s">
        <v>720</v>
      </c>
      <c r="B40" s="19" t="s">
        <v>824</v>
      </c>
      <c r="C40" s="19" t="s">
        <v>1091</v>
      </c>
      <c r="D40" s="19" t="s">
        <v>848</v>
      </c>
      <c r="E40" s="19" t="s">
        <v>872</v>
      </c>
      <c r="F40" s="19" t="s">
        <v>908</v>
      </c>
      <c r="G40" s="19" t="s">
        <v>1023</v>
      </c>
      <c r="H40" s="19" t="s">
        <v>1016</v>
      </c>
      <c r="I40" s="24">
        <v>46223</v>
      </c>
      <c r="J40" s="24">
        <v>46233</v>
      </c>
      <c r="K40" s="20">
        <v>32</v>
      </c>
      <c r="L40" s="20">
        <v>43</v>
      </c>
    </row>
    <row r="41" spans="1:12" x14ac:dyDescent="0.25">
      <c r="A41" s="19" t="s">
        <v>721</v>
      </c>
      <c r="B41" s="19" t="s">
        <v>824</v>
      </c>
      <c r="C41" s="19" t="s">
        <v>1089</v>
      </c>
      <c r="D41" s="19" t="s">
        <v>853</v>
      </c>
      <c r="E41" s="19" t="s">
        <v>877</v>
      </c>
      <c r="F41" s="19" t="s">
        <v>908</v>
      </c>
      <c r="G41" s="19" t="s">
        <v>1023</v>
      </c>
      <c r="H41" s="19" t="s">
        <v>1016</v>
      </c>
      <c r="I41" s="24">
        <v>46223</v>
      </c>
      <c r="J41" s="24">
        <v>46233</v>
      </c>
      <c r="K41" s="20">
        <v>32</v>
      </c>
      <c r="L41" s="20">
        <v>43</v>
      </c>
    </row>
    <row r="42" spans="1:12" x14ac:dyDescent="0.25">
      <c r="A42" s="19" t="s">
        <v>726</v>
      </c>
      <c r="B42" s="19" t="s">
        <v>824</v>
      </c>
      <c r="C42" s="19" t="s">
        <v>1088</v>
      </c>
      <c r="D42" s="19" t="s">
        <v>856</v>
      </c>
      <c r="E42" s="19" t="s">
        <v>880</v>
      </c>
      <c r="F42" s="19" t="s">
        <v>908</v>
      </c>
      <c r="G42" s="19" t="s">
        <v>1021</v>
      </c>
      <c r="H42" s="19" t="s">
        <v>1016</v>
      </c>
      <c r="I42" s="24">
        <v>46225</v>
      </c>
      <c r="J42" s="24">
        <v>46235</v>
      </c>
      <c r="K42" s="20">
        <v>30</v>
      </c>
      <c r="L42" s="20">
        <v>41</v>
      </c>
    </row>
    <row r="43" spans="1:12" x14ac:dyDescent="0.25">
      <c r="A43" s="19" t="s">
        <v>729</v>
      </c>
      <c r="B43" s="19" t="s">
        <v>823</v>
      </c>
      <c r="C43" s="19" t="s">
        <v>1088</v>
      </c>
      <c r="D43" s="19" t="s">
        <v>846</v>
      </c>
      <c r="E43" s="19" t="s">
        <v>870</v>
      </c>
      <c r="F43" s="19" t="s">
        <v>907</v>
      </c>
      <c r="G43" s="19" t="s">
        <v>1021</v>
      </c>
      <c r="H43" s="19" t="s">
        <v>1016</v>
      </c>
      <c r="I43" s="24">
        <v>46226</v>
      </c>
      <c r="J43" s="24">
        <v>46236</v>
      </c>
      <c r="K43" s="20">
        <v>29</v>
      </c>
      <c r="L43" s="20">
        <v>40</v>
      </c>
    </row>
    <row r="44" spans="1:12" x14ac:dyDescent="0.25">
      <c r="A44" s="19" t="s">
        <v>732</v>
      </c>
      <c r="B44" s="19" t="s">
        <v>823</v>
      </c>
      <c r="C44" s="19" t="s">
        <v>1090</v>
      </c>
      <c r="D44" s="19" t="s">
        <v>842</v>
      </c>
      <c r="E44" s="19" t="s">
        <v>866</v>
      </c>
      <c r="F44" s="19" t="s">
        <v>912</v>
      </c>
      <c r="G44" s="19" t="s">
        <v>1023</v>
      </c>
      <c r="H44" s="19" t="s">
        <v>1016</v>
      </c>
      <c r="I44" s="24">
        <v>46227</v>
      </c>
      <c r="J44" s="24">
        <v>46237</v>
      </c>
      <c r="K44" s="20">
        <v>28</v>
      </c>
      <c r="L44" s="20">
        <v>39</v>
      </c>
    </row>
    <row r="45" spans="1:12" x14ac:dyDescent="0.25">
      <c r="A45" s="19" t="s">
        <v>745</v>
      </c>
      <c r="B45" s="19" t="s">
        <v>824</v>
      </c>
      <c r="C45" s="19" t="s">
        <v>1088</v>
      </c>
      <c r="D45" s="19" t="s">
        <v>840</v>
      </c>
      <c r="E45" s="19" t="s">
        <v>864</v>
      </c>
      <c r="F45" s="19" t="s">
        <v>910</v>
      </c>
      <c r="G45" s="19" t="s">
        <v>1022</v>
      </c>
      <c r="H45" s="19" t="s">
        <v>1016</v>
      </c>
      <c r="I45" s="24">
        <v>46232</v>
      </c>
      <c r="J45" s="24">
        <v>46242</v>
      </c>
      <c r="K45" s="20">
        <v>23</v>
      </c>
      <c r="L45" s="20">
        <v>34</v>
      </c>
    </row>
    <row r="46" spans="1:12" x14ac:dyDescent="0.25">
      <c r="A46" s="19" t="s">
        <v>749</v>
      </c>
      <c r="B46" s="19" t="s">
        <v>824</v>
      </c>
      <c r="C46" s="19" t="s">
        <v>1087</v>
      </c>
      <c r="D46" s="19" t="s">
        <v>835</v>
      </c>
      <c r="E46" s="19" t="s">
        <v>859</v>
      </c>
      <c r="F46" s="19" t="s">
        <v>914</v>
      </c>
      <c r="G46" s="19" t="s">
        <v>1023</v>
      </c>
      <c r="H46" s="19" t="s">
        <v>1016</v>
      </c>
      <c r="I46" s="24">
        <v>46233</v>
      </c>
      <c r="J46" s="24">
        <v>46243</v>
      </c>
      <c r="K46" s="20">
        <v>22</v>
      </c>
      <c r="L46" s="20">
        <v>33</v>
      </c>
    </row>
    <row r="47" spans="1:12" x14ac:dyDescent="0.25">
      <c r="A47" s="19" t="s">
        <v>752</v>
      </c>
      <c r="B47" s="19" t="s">
        <v>823</v>
      </c>
      <c r="C47" s="19" t="s">
        <v>1087</v>
      </c>
      <c r="D47" s="19" t="s">
        <v>844</v>
      </c>
      <c r="E47" s="19" t="s">
        <v>868</v>
      </c>
      <c r="F47" s="19" t="s">
        <v>907</v>
      </c>
      <c r="G47" s="19" t="s">
        <v>1023</v>
      </c>
      <c r="H47" s="19" t="s">
        <v>1016</v>
      </c>
      <c r="I47" s="24">
        <v>46236</v>
      </c>
      <c r="J47" s="24">
        <v>46246</v>
      </c>
      <c r="K47" s="20">
        <v>19</v>
      </c>
      <c r="L47" s="20">
        <v>30</v>
      </c>
    </row>
    <row r="48" spans="1:12" x14ac:dyDescent="0.25">
      <c r="A48" s="19" t="s">
        <v>768</v>
      </c>
      <c r="B48" s="19" t="s">
        <v>826</v>
      </c>
      <c r="C48" s="19" t="s">
        <v>1086</v>
      </c>
      <c r="D48" s="19" t="s">
        <v>842</v>
      </c>
      <c r="E48" s="19" t="s">
        <v>866</v>
      </c>
      <c r="F48" s="19" t="s">
        <v>930</v>
      </c>
      <c r="G48" s="19" t="s">
        <v>1024</v>
      </c>
      <c r="H48" s="19" t="s">
        <v>1016</v>
      </c>
      <c r="I48" s="24">
        <v>46243</v>
      </c>
      <c r="J48" s="24">
        <v>46246</v>
      </c>
      <c r="K48" s="20">
        <v>19</v>
      </c>
      <c r="L48" s="20">
        <v>23</v>
      </c>
    </row>
    <row r="49" spans="1:12" x14ac:dyDescent="0.25">
      <c r="A49" s="19" t="s">
        <v>756</v>
      </c>
      <c r="B49" s="19" t="s">
        <v>823</v>
      </c>
      <c r="C49" s="19" t="s">
        <v>1092</v>
      </c>
      <c r="D49" s="19" t="s">
        <v>845</v>
      </c>
      <c r="E49" s="19" t="s">
        <v>869</v>
      </c>
      <c r="F49" s="19" t="s">
        <v>917</v>
      </c>
      <c r="G49" s="19" t="s">
        <v>1021</v>
      </c>
      <c r="H49" s="19" t="s">
        <v>1016</v>
      </c>
      <c r="I49" s="24">
        <v>46237</v>
      </c>
      <c r="J49" s="24">
        <v>46247</v>
      </c>
      <c r="K49" s="20">
        <v>18</v>
      </c>
      <c r="L49" s="20">
        <v>29</v>
      </c>
    </row>
    <row r="50" spans="1:12" x14ac:dyDescent="0.25">
      <c r="A50" s="19" t="s">
        <v>758</v>
      </c>
      <c r="B50" s="19" t="s">
        <v>824</v>
      </c>
      <c r="C50" s="19" t="s">
        <v>1088</v>
      </c>
      <c r="D50" s="19" t="s">
        <v>843</v>
      </c>
      <c r="E50" s="19" t="s">
        <v>867</v>
      </c>
      <c r="F50" s="19" t="s">
        <v>925</v>
      </c>
      <c r="G50" s="19" t="s">
        <v>1021</v>
      </c>
      <c r="H50" s="19" t="s">
        <v>1016</v>
      </c>
      <c r="I50" s="24">
        <v>46237</v>
      </c>
      <c r="J50" s="24">
        <v>46247</v>
      </c>
      <c r="K50" s="20">
        <v>18</v>
      </c>
      <c r="L50" s="20">
        <v>29</v>
      </c>
    </row>
    <row r="51" spans="1:12" x14ac:dyDescent="0.25">
      <c r="A51" s="19" t="s">
        <v>761</v>
      </c>
      <c r="B51" s="19" t="s">
        <v>823</v>
      </c>
      <c r="C51" s="19" t="s">
        <v>1089</v>
      </c>
      <c r="D51" s="19" t="s">
        <v>836</v>
      </c>
      <c r="E51" s="19" t="s">
        <v>860</v>
      </c>
      <c r="F51" s="19" t="s">
        <v>907</v>
      </c>
      <c r="G51" s="19" t="s">
        <v>1023</v>
      </c>
      <c r="H51" s="19" t="s">
        <v>1016</v>
      </c>
      <c r="I51" s="24">
        <v>46239</v>
      </c>
      <c r="J51" s="24">
        <v>46249</v>
      </c>
      <c r="K51" s="20">
        <v>16</v>
      </c>
      <c r="L51" s="20">
        <v>27</v>
      </c>
    </row>
    <row r="52" spans="1:12" x14ac:dyDescent="0.25">
      <c r="A52" s="19" t="s">
        <v>772</v>
      </c>
      <c r="B52" s="19" t="s">
        <v>826</v>
      </c>
      <c r="C52" s="19" t="s">
        <v>1086</v>
      </c>
      <c r="D52" s="19" t="s">
        <v>853</v>
      </c>
      <c r="E52" s="19" t="s">
        <v>877</v>
      </c>
      <c r="F52" s="19" t="s">
        <v>942</v>
      </c>
      <c r="G52" s="19" t="s">
        <v>1022</v>
      </c>
      <c r="H52" s="19" t="s">
        <v>1016</v>
      </c>
      <c r="I52" s="24">
        <v>46246</v>
      </c>
      <c r="J52" s="24">
        <v>46249</v>
      </c>
      <c r="K52" s="20">
        <v>16</v>
      </c>
      <c r="L52" s="20">
        <v>20</v>
      </c>
    </row>
    <row r="53" spans="1:12" x14ac:dyDescent="0.25">
      <c r="A53" s="19" t="s">
        <v>765</v>
      </c>
      <c r="B53" s="19" t="s">
        <v>824</v>
      </c>
      <c r="C53" s="19" t="s">
        <v>1087</v>
      </c>
      <c r="D53" s="19" t="s">
        <v>834</v>
      </c>
      <c r="E53" s="19" t="s">
        <v>858</v>
      </c>
      <c r="F53" s="19" t="s">
        <v>914</v>
      </c>
      <c r="G53" s="19" t="s">
        <v>1022</v>
      </c>
      <c r="H53" s="19" t="s">
        <v>1016</v>
      </c>
      <c r="I53" s="24">
        <v>46241</v>
      </c>
      <c r="J53" s="24">
        <v>46251</v>
      </c>
      <c r="K53" s="20">
        <v>14</v>
      </c>
      <c r="L53" s="20">
        <v>25</v>
      </c>
    </row>
    <row r="54" spans="1:12" x14ac:dyDescent="0.25">
      <c r="A54" s="19" t="s">
        <v>778</v>
      </c>
      <c r="B54" s="19" t="s">
        <v>826</v>
      </c>
      <c r="C54" s="19" t="s">
        <v>1086</v>
      </c>
      <c r="D54" s="19" t="s">
        <v>843</v>
      </c>
      <c r="E54" s="19" t="s">
        <v>867</v>
      </c>
      <c r="F54" s="19" t="s">
        <v>981</v>
      </c>
      <c r="G54" s="19" t="s">
        <v>1022</v>
      </c>
      <c r="H54" s="19" t="s">
        <v>1016</v>
      </c>
      <c r="I54" s="24">
        <v>46250</v>
      </c>
      <c r="J54" s="24">
        <v>46253</v>
      </c>
      <c r="K54" s="20">
        <v>12</v>
      </c>
      <c r="L54" s="20">
        <v>16</v>
      </c>
    </row>
    <row r="55" spans="1:12" x14ac:dyDescent="0.25">
      <c r="A55" s="19" t="s">
        <v>791</v>
      </c>
      <c r="B55" s="19" t="s">
        <v>826</v>
      </c>
      <c r="C55" s="19" t="s">
        <v>1086</v>
      </c>
      <c r="D55" s="19" t="s">
        <v>848</v>
      </c>
      <c r="E55" s="19" t="s">
        <v>872</v>
      </c>
      <c r="F55" s="19" t="s">
        <v>987</v>
      </c>
      <c r="G55" s="19" t="s">
        <v>1022</v>
      </c>
      <c r="H55" s="19" t="s">
        <v>1017</v>
      </c>
      <c r="I55" s="24">
        <v>46256</v>
      </c>
      <c r="J55" s="24">
        <v>46256</v>
      </c>
      <c r="K55" s="20">
        <v>9</v>
      </c>
      <c r="L55" s="20">
        <v>10</v>
      </c>
    </row>
    <row r="56" spans="1:12" x14ac:dyDescent="0.25">
      <c r="A56" s="19" t="s">
        <v>773</v>
      </c>
      <c r="B56" s="19" t="s">
        <v>823</v>
      </c>
      <c r="C56" s="19" t="s">
        <v>1088</v>
      </c>
      <c r="D56" s="19" t="s">
        <v>846</v>
      </c>
      <c r="E56" s="19" t="s">
        <v>870</v>
      </c>
      <c r="F56" s="19" t="s">
        <v>911</v>
      </c>
      <c r="G56" s="19" t="s">
        <v>1022</v>
      </c>
      <c r="H56" s="19" t="s">
        <v>1016</v>
      </c>
      <c r="I56" s="24">
        <v>46247</v>
      </c>
      <c r="J56" s="24">
        <v>46257</v>
      </c>
      <c r="K56" s="20">
        <v>8</v>
      </c>
      <c r="L56" s="20">
        <v>19</v>
      </c>
    </row>
    <row r="57" spans="1:12" x14ac:dyDescent="0.25">
      <c r="A57" s="19" t="s">
        <v>794</v>
      </c>
      <c r="B57" s="19" t="s">
        <v>826</v>
      </c>
      <c r="C57" s="19" t="s">
        <v>1090</v>
      </c>
      <c r="D57" s="19" t="s">
        <v>842</v>
      </c>
      <c r="E57" s="19" t="s">
        <v>866</v>
      </c>
      <c r="F57" s="19" t="s">
        <v>968</v>
      </c>
      <c r="G57" s="19" t="s">
        <v>1024</v>
      </c>
      <c r="H57" s="19" t="s">
        <v>1018</v>
      </c>
      <c r="I57" s="24">
        <v>46256</v>
      </c>
      <c r="J57" s="24">
        <v>46257</v>
      </c>
      <c r="K57" s="20">
        <v>8</v>
      </c>
      <c r="L57" s="20">
        <v>10</v>
      </c>
    </row>
    <row r="58" spans="1:12" x14ac:dyDescent="0.25">
      <c r="A58" s="19" t="s">
        <v>799</v>
      </c>
      <c r="B58" s="19" t="s">
        <v>825</v>
      </c>
      <c r="C58" s="19" t="s">
        <v>1090</v>
      </c>
      <c r="D58" s="19" t="s">
        <v>852</v>
      </c>
      <c r="E58" s="19" t="s">
        <v>876</v>
      </c>
      <c r="F58" s="19" t="s">
        <v>968</v>
      </c>
      <c r="G58" s="19" t="s">
        <v>1021</v>
      </c>
      <c r="H58" s="19" t="s">
        <v>1017</v>
      </c>
      <c r="I58" s="24">
        <v>46258</v>
      </c>
      <c r="J58" s="24">
        <v>46258</v>
      </c>
      <c r="K58" s="20">
        <v>7</v>
      </c>
      <c r="L58" s="20">
        <v>8</v>
      </c>
    </row>
    <row r="59" spans="1:12" x14ac:dyDescent="0.25">
      <c r="A59" s="19" t="s">
        <v>795</v>
      </c>
      <c r="B59" s="19" t="s">
        <v>825</v>
      </c>
      <c r="C59" s="19" t="s">
        <v>1086</v>
      </c>
      <c r="D59" s="19" t="s">
        <v>843</v>
      </c>
      <c r="E59" s="19" t="s">
        <v>867</v>
      </c>
      <c r="F59" s="19" t="s">
        <v>955</v>
      </c>
      <c r="G59" s="19" t="s">
        <v>1021</v>
      </c>
      <c r="H59" s="19" t="s">
        <v>1016</v>
      </c>
      <c r="I59" s="24">
        <v>46257</v>
      </c>
      <c r="J59" s="24">
        <v>46260</v>
      </c>
      <c r="K59" s="20">
        <v>5</v>
      </c>
      <c r="L59" s="20">
        <v>9</v>
      </c>
    </row>
    <row r="60" spans="1:12" x14ac:dyDescent="0.25">
      <c r="A60" s="19" t="s">
        <v>801</v>
      </c>
      <c r="B60" s="19" t="s">
        <v>825</v>
      </c>
      <c r="C60" s="19" t="s">
        <v>1086</v>
      </c>
      <c r="D60" s="19" t="s">
        <v>851</v>
      </c>
      <c r="E60" s="19" t="s">
        <v>875</v>
      </c>
      <c r="F60" s="19" t="s">
        <v>951</v>
      </c>
      <c r="G60" s="19" t="s">
        <v>1022</v>
      </c>
      <c r="H60" s="19" t="s">
        <v>1017</v>
      </c>
      <c r="I60" s="24">
        <v>46260</v>
      </c>
      <c r="J60" s="24">
        <v>46260</v>
      </c>
      <c r="K60" s="20">
        <v>5</v>
      </c>
      <c r="L60" s="20">
        <v>6</v>
      </c>
    </row>
    <row r="61" spans="1:12" x14ac:dyDescent="0.25">
      <c r="A61" s="19" t="s">
        <v>782</v>
      </c>
      <c r="B61" s="19" t="s">
        <v>823</v>
      </c>
      <c r="C61" s="19" t="s">
        <v>1092</v>
      </c>
      <c r="D61" s="19" t="s">
        <v>837</v>
      </c>
      <c r="E61" s="19" t="s">
        <v>861</v>
      </c>
      <c r="F61" s="19" t="s">
        <v>907</v>
      </c>
      <c r="G61" s="19" t="s">
        <v>1022</v>
      </c>
      <c r="H61" s="19" t="s">
        <v>1016</v>
      </c>
      <c r="I61" s="24">
        <v>46252</v>
      </c>
      <c r="J61" s="24">
        <v>46262</v>
      </c>
      <c r="K61" s="20">
        <v>3</v>
      </c>
      <c r="L61" s="20">
        <v>14</v>
      </c>
    </row>
    <row r="62" spans="1:12" x14ac:dyDescent="0.25">
      <c r="A62" s="19" t="s">
        <v>783</v>
      </c>
      <c r="B62" s="19" t="s">
        <v>823</v>
      </c>
      <c r="C62" s="19" t="s">
        <v>1087</v>
      </c>
      <c r="D62" s="19" t="s">
        <v>835</v>
      </c>
      <c r="E62" s="19" t="s">
        <v>859</v>
      </c>
      <c r="F62" s="19" t="s">
        <v>917</v>
      </c>
      <c r="G62" s="19" t="s">
        <v>1023</v>
      </c>
      <c r="H62" s="19" t="s">
        <v>1016</v>
      </c>
      <c r="I62" s="24">
        <v>46252</v>
      </c>
      <c r="J62" s="24">
        <v>46262</v>
      </c>
      <c r="K62" s="20">
        <v>3</v>
      </c>
      <c r="L62" s="20">
        <v>14</v>
      </c>
    </row>
    <row r="63" spans="1:12" x14ac:dyDescent="0.25">
      <c r="A63" s="19" t="s">
        <v>784</v>
      </c>
      <c r="B63" s="19" t="s">
        <v>823</v>
      </c>
      <c r="C63" s="19" t="s">
        <v>1089</v>
      </c>
      <c r="D63" s="19" t="s">
        <v>854</v>
      </c>
      <c r="E63" s="19" t="s">
        <v>878</v>
      </c>
      <c r="F63" s="19" t="s">
        <v>924</v>
      </c>
      <c r="G63" s="19" t="s">
        <v>1022</v>
      </c>
      <c r="H63" s="19" t="s">
        <v>1016</v>
      </c>
      <c r="I63" s="24">
        <v>46253</v>
      </c>
      <c r="J63" s="24">
        <v>46263</v>
      </c>
      <c r="K63" s="20">
        <v>2</v>
      </c>
      <c r="L63" s="20">
        <v>13</v>
      </c>
    </row>
    <row r="64" spans="1:12" x14ac:dyDescent="0.25">
      <c r="A64" s="19" t="s">
        <v>813</v>
      </c>
      <c r="B64" s="19" t="s">
        <v>826</v>
      </c>
      <c r="C64" s="19" t="s">
        <v>1086</v>
      </c>
      <c r="D64" s="19" t="s">
        <v>839</v>
      </c>
      <c r="E64" s="19" t="s">
        <v>863</v>
      </c>
      <c r="F64" s="19" t="s">
        <v>933</v>
      </c>
      <c r="G64" s="19" t="s">
        <v>1024</v>
      </c>
      <c r="H64" s="19" t="s">
        <v>1018</v>
      </c>
      <c r="I64" s="24">
        <v>46263</v>
      </c>
      <c r="J64" s="24">
        <v>46263</v>
      </c>
      <c r="K64" s="20">
        <v>2</v>
      </c>
      <c r="L64" s="20">
        <v>3</v>
      </c>
    </row>
    <row r="65" spans="1:12" x14ac:dyDescent="0.25">
      <c r="A65" s="19" t="s">
        <v>811</v>
      </c>
      <c r="B65" s="19" t="s">
        <v>826</v>
      </c>
      <c r="C65" s="19" t="s">
        <v>1086</v>
      </c>
      <c r="D65" s="19" t="s">
        <v>840</v>
      </c>
      <c r="E65" s="19" t="s">
        <v>864</v>
      </c>
      <c r="F65" s="19" t="s">
        <v>985</v>
      </c>
      <c r="G65" s="19" t="s">
        <v>1024</v>
      </c>
      <c r="H65" s="19" t="s">
        <v>1016</v>
      </c>
      <c r="I65" s="24">
        <v>46262</v>
      </c>
      <c r="J65" s="24">
        <v>46264</v>
      </c>
      <c r="K65" s="20">
        <v>1</v>
      </c>
      <c r="L65" s="20">
        <v>4</v>
      </c>
    </row>
    <row r="66" spans="1:12" x14ac:dyDescent="0.25">
      <c r="A66" s="19" t="s">
        <v>812</v>
      </c>
      <c r="B66" s="19" t="s">
        <v>826</v>
      </c>
      <c r="C66" s="19" t="s">
        <v>1086</v>
      </c>
      <c r="D66" s="19" t="s">
        <v>856</v>
      </c>
      <c r="E66" s="19" t="s">
        <v>880</v>
      </c>
      <c r="F66" s="19" t="s">
        <v>955</v>
      </c>
      <c r="G66" s="19" t="s">
        <v>1022</v>
      </c>
      <c r="H66" s="19" t="s">
        <v>1018</v>
      </c>
      <c r="I66" s="24">
        <v>46262</v>
      </c>
      <c r="J66" s="24">
        <v>46264</v>
      </c>
      <c r="K66" s="20">
        <v>1</v>
      </c>
      <c r="L66" s="20">
        <v>4</v>
      </c>
    </row>
    <row r="67" spans="1:12" x14ac:dyDescent="0.25">
      <c r="A67" s="19" t="s">
        <v>814</v>
      </c>
      <c r="B67" s="19" t="s">
        <v>825</v>
      </c>
      <c r="C67" s="19" t="s">
        <v>1086</v>
      </c>
      <c r="D67" s="19" t="s">
        <v>847</v>
      </c>
      <c r="E67" s="19" t="s">
        <v>871</v>
      </c>
      <c r="F67" s="19" t="s">
        <v>930</v>
      </c>
      <c r="G67" s="19" t="s">
        <v>1021</v>
      </c>
      <c r="H67" s="19" t="s">
        <v>1016</v>
      </c>
      <c r="I67" s="24">
        <v>46263</v>
      </c>
      <c r="J67" s="24">
        <v>46264</v>
      </c>
      <c r="K67" s="20">
        <v>1</v>
      </c>
      <c r="L67" s="20">
        <v>3</v>
      </c>
    </row>
    <row r="68" spans="1:12" x14ac:dyDescent="0.25">
      <c r="A68" s="19" t="s">
        <v>816</v>
      </c>
      <c r="B68" s="19" t="s">
        <v>826</v>
      </c>
      <c r="C68" s="19" t="s">
        <v>1086</v>
      </c>
      <c r="D68" s="19" t="s">
        <v>843</v>
      </c>
      <c r="E68" s="19" t="s">
        <v>867</v>
      </c>
      <c r="F68" s="19" t="s">
        <v>981</v>
      </c>
      <c r="G68" s="19" t="s">
        <v>1024</v>
      </c>
      <c r="H68" s="19" t="s">
        <v>1016</v>
      </c>
      <c r="I68" s="24">
        <v>46265</v>
      </c>
      <c r="J68" s="24">
        <v>46265</v>
      </c>
      <c r="K68" s="20">
        <v>0</v>
      </c>
      <c r="L68" s="20">
        <v>1</v>
      </c>
    </row>
    <row r="69" spans="1:12" x14ac:dyDescent="0.25">
      <c r="A69" s="19" t="s">
        <v>819</v>
      </c>
      <c r="B69" s="19" t="s">
        <v>825</v>
      </c>
      <c r="C69" s="19" t="s">
        <v>1086</v>
      </c>
      <c r="D69" s="19" t="s">
        <v>845</v>
      </c>
      <c r="E69" s="19" t="s">
        <v>869</v>
      </c>
      <c r="F69" s="19" t="s">
        <v>953</v>
      </c>
      <c r="G69" s="19" t="s">
        <v>1022</v>
      </c>
      <c r="H69" s="19" t="s">
        <v>1016</v>
      </c>
      <c r="I69" s="24">
        <v>46265</v>
      </c>
      <c r="J69" s="24">
        <v>46265</v>
      </c>
      <c r="K69" s="20">
        <v>0</v>
      </c>
      <c r="L69" s="20">
        <v>1</v>
      </c>
    </row>
    <row r="70" spans="1:12" x14ac:dyDescent="0.25">
      <c r="A70" s="19" t="s">
        <v>792</v>
      </c>
      <c r="B70" s="19" t="s">
        <v>823</v>
      </c>
      <c r="C70" s="19" t="s">
        <v>1089</v>
      </c>
      <c r="D70" s="19" t="s">
        <v>836</v>
      </c>
      <c r="E70" s="19" t="s">
        <v>860</v>
      </c>
      <c r="F70" s="19" t="s">
        <v>912</v>
      </c>
      <c r="G70" s="19" t="s">
        <v>1021</v>
      </c>
      <c r="H70" s="19" t="s">
        <v>1016</v>
      </c>
      <c r="I70" s="24">
        <v>46256</v>
      </c>
      <c r="J70" s="24">
        <v>46266</v>
      </c>
      <c r="K70" s="20">
        <v>0</v>
      </c>
      <c r="L70" s="20">
        <v>10</v>
      </c>
    </row>
    <row r="71" spans="1:12" x14ac:dyDescent="0.25">
      <c r="A71" s="19" t="s">
        <v>793</v>
      </c>
      <c r="B71" s="19" t="s">
        <v>824</v>
      </c>
      <c r="C71" s="19" t="s">
        <v>1090</v>
      </c>
      <c r="D71" s="19" t="s">
        <v>842</v>
      </c>
      <c r="E71" s="19" t="s">
        <v>866</v>
      </c>
      <c r="F71" s="19" t="s">
        <v>914</v>
      </c>
      <c r="G71" s="19" t="s">
        <v>1022</v>
      </c>
      <c r="H71" s="19" t="s">
        <v>1016</v>
      </c>
      <c r="I71" s="24">
        <v>46256</v>
      </c>
      <c r="J71" s="24">
        <v>46266</v>
      </c>
      <c r="K71" s="20">
        <v>0</v>
      </c>
      <c r="L71" s="20">
        <v>10</v>
      </c>
    </row>
    <row r="72" spans="1:12" x14ac:dyDescent="0.25">
      <c r="A72" s="19" t="s">
        <v>820</v>
      </c>
      <c r="B72" s="19" t="s">
        <v>826</v>
      </c>
      <c r="C72" s="19" t="s">
        <v>1086</v>
      </c>
      <c r="D72" s="19" t="s">
        <v>844</v>
      </c>
      <c r="E72" s="19" t="s">
        <v>868</v>
      </c>
      <c r="F72" s="19" t="s">
        <v>922</v>
      </c>
      <c r="G72" s="19" t="s">
        <v>1024</v>
      </c>
      <c r="H72" s="19" t="s">
        <v>1016</v>
      </c>
      <c r="I72" s="24">
        <v>46265</v>
      </c>
      <c r="J72" s="24">
        <v>46266</v>
      </c>
      <c r="K72" s="20">
        <v>0</v>
      </c>
      <c r="L72" s="20">
        <v>1</v>
      </c>
    </row>
    <row r="73" spans="1:12" x14ac:dyDescent="0.25">
      <c r="A73" s="19" t="s">
        <v>821</v>
      </c>
      <c r="B73" s="19" t="s">
        <v>825</v>
      </c>
      <c r="C73" s="19" t="s">
        <v>1086</v>
      </c>
      <c r="D73" s="19" t="s">
        <v>847</v>
      </c>
      <c r="E73" s="19" t="s">
        <v>871</v>
      </c>
      <c r="F73" s="19" t="s">
        <v>927</v>
      </c>
      <c r="G73" s="19" t="s">
        <v>1023</v>
      </c>
      <c r="H73" s="19" t="s">
        <v>1016</v>
      </c>
      <c r="I73" s="24">
        <v>46265</v>
      </c>
      <c r="J73" s="24">
        <v>46267</v>
      </c>
      <c r="K73" s="20">
        <v>0</v>
      </c>
      <c r="L73" s="20">
        <v>1</v>
      </c>
    </row>
    <row r="74" spans="1:12" x14ac:dyDescent="0.25">
      <c r="A74" s="19" t="s">
        <v>796</v>
      </c>
      <c r="B74" s="19" t="s">
        <v>823</v>
      </c>
      <c r="C74" s="19" t="s">
        <v>1087</v>
      </c>
      <c r="D74" s="19" t="s">
        <v>844</v>
      </c>
      <c r="E74" s="19" t="s">
        <v>868</v>
      </c>
      <c r="F74" s="19" t="s">
        <v>909</v>
      </c>
      <c r="G74" s="19" t="s">
        <v>1022</v>
      </c>
      <c r="H74" s="19" t="s">
        <v>1016</v>
      </c>
      <c r="I74" s="24">
        <v>46258</v>
      </c>
      <c r="J74" s="24">
        <v>46268</v>
      </c>
      <c r="K74" s="20">
        <v>0</v>
      </c>
      <c r="L74" s="20">
        <v>8</v>
      </c>
    </row>
    <row r="75" spans="1:12" x14ac:dyDescent="0.25">
      <c r="A75" s="19" t="s">
        <v>797</v>
      </c>
      <c r="B75" s="19" t="s">
        <v>823</v>
      </c>
      <c r="C75" s="19" t="s">
        <v>1087</v>
      </c>
      <c r="D75" s="19" t="s">
        <v>834</v>
      </c>
      <c r="E75" s="19" t="s">
        <v>858</v>
      </c>
      <c r="F75" s="19" t="s">
        <v>924</v>
      </c>
      <c r="G75" s="19" t="s">
        <v>1023</v>
      </c>
      <c r="H75" s="19" t="s">
        <v>1018</v>
      </c>
      <c r="I75" s="24">
        <v>46258</v>
      </c>
      <c r="J75" s="24">
        <v>46268</v>
      </c>
      <c r="K75" s="20">
        <v>0</v>
      </c>
      <c r="L75" s="20">
        <v>8</v>
      </c>
    </row>
    <row r="76" spans="1:12" x14ac:dyDescent="0.25">
      <c r="A76" s="19" t="s">
        <v>798</v>
      </c>
      <c r="B76" s="19" t="s">
        <v>823</v>
      </c>
      <c r="C76" s="19" t="s">
        <v>1089</v>
      </c>
      <c r="D76" s="19" t="s">
        <v>847</v>
      </c>
      <c r="E76" s="19" t="s">
        <v>871</v>
      </c>
      <c r="F76" s="19" t="s">
        <v>909</v>
      </c>
      <c r="G76" s="19" t="s">
        <v>1021</v>
      </c>
      <c r="H76" s="19" t="s">
        <v>1017</v>
      </c>
      <c r="I76" s="24">
        <v>46258</v>
      </c>
      <c r="J76" s="24">
        <v>46268</v>
      </c>
      <c r="K76" s="20">
        <v>0</v>
      </c>
      <c r="L76" s="20">
        <v>8</v>
      </c>
    </row>
    <row r="77" spans="1:12" x14ac:dyDescent="0.25">
      <c r="A77" s="19" t="s">
        <v>800</v>
      </c>
      <c r="B77" s="19" t="s">
        <v>823</v>
      </c>
      <c r="C77" s="19" t="s">
        <v>1088</v>
      </c>
      <c r="D77" s="19" t="s">
        <v>843</v>
      </c>
      <c r="E77" s="19" t="s">
        <v>867</v>
      </c>
      <c r="F77" s="19" t="s">
        <v>907</v>
      </c>
      <c r="G77" s="19" t="s">
        <v>1022</v>
      </c>
      <c r="H77" s="19" t="s">
        <v>1017</v>
      </c>
      <c r="I77" s="24">
        <v>46259</v>
      </c>
      <c r="J77" s="24">
        <v>46269</v>
      </c>
      <c r="K77" s="20">
        <v>0</v>
      </c>
      <c r="L77" s="20">
        <v>7</v>
      </c>
    </row>
    <row r="78" spans="1:12" x14ac:dyDescent="0.25">
      <c r="A78" s="19" t="s">
        <v>802</v>
      </c>
      <c r="B78" s="19" t="s">
        <v>823</v>
      </c>
      <c r="C78" s="19" t="s">
        <v>1088</v>
      </c>
      <c r="D78" s="19" t="s">
        <v>840</v>
      </c>
      <c r="E78" s="19" t="s">
        <v>864</v>
      </c>
      <c r="F78" s="19" t="s">
        <v>924</v>
      </c>
      <c r="G78" s="19" t="s">
        <v>1022</v>
      </c>
      <c r="H78" s="19" t="s">
        <v>1016</v>
      </c>
      <c r="I78" s="24">
        <v>46261</v>
      </c>
      <c r="J78" s="24">
        <v>46271</v>
      </c>
      <c r="K78" s="20">
        <v>0</v>
      </c>
      <c r="L78" s="20">
        <v>5</v>
      </c>
    </row>
    <row r="79" spans="1:12" x14ac:dyDescent="0.25">
      <c r="A79" s="19" t="s">
        <v>803</v>
      </c>
      <c r="B79" s="19" t="s">
        <v>823</v>
      </c>
      <c r="C79" s="19" t="s">
        <v>1093</v>
      </c>
      <c r="D79" s="19" t="s">
        <v>852</v>
      </c>
      <c r="E79" s="19" t="s">
        <v>876</v>
      </c>
      <c r="F79" s="19" t="s">
        <v>924</v>
      </c>
      <c r="G79" s="19" t="s">
        <v>1022</v>
      </c>
      <c r="H79" s="19" t="s">
        <v>1018</v>
      </c>
      <c r="I79" s="24">
        <v>46261</v>
      </c>
      <c r="J79" s="24">
        <v>46271</v>
      </c>
      <c r="K79" s="20">
        <v>0</v>
      </c>
      <c r="L79" s="20">
        <v>5</v>
      </c>
    </row>
    <row r="80" spans="1:12" x14ac:dyDescent="0.25">
      <c r="A80" s="19" t="s">
        <v>804</v>
      </c>
      <c r="B80" s="19" t="s">
        <v>824</v>
      </c>
      <c r="C80" s="19" t="s">
        <v>1089</v>
      </c>
      <c r="D80" s="19" t="s">
        <v>836</v>
      </c>
      <c r="E80" s="19" t="s">
        <v>860</v>
      </c>
      <c r="F80" s="19" t="s">
        <v>910</v>
      </c>
      <c r="G80" s="19" t="s">
        <v>1022</v>
      </c>
      <c r="H80" s="19" t="s">
        <v>1016</v>
      </c>
      <c r="I80" s="24">
        <v>46261</v>
      </c>
      <c r="J80" s="24">
        <v>46271</v>
      </c>
      <c r="K80" s="20">
        <v>0</v>
      </c>
      <c r="L80" s="20">
        <v>5</v>
      </c>
    </row>
    <row r="81" spans="1:12" x14ac:dyDescent="0.25">
      <c r="A81" s="19" t="s">
        <v>805</v>
      </c>
      <c r="B81" s="19" t="s">
        <v>823</v>
      </c>
      <c r="C81" s="19" t="s">
        <v>1087</v>
      </c>
      <c r="D81" s="19" t="s">
        <v>850</v>
      </c>
      <c r="E81" s="19" t="s">
        <v>874</v>
      </c>
      <c r="F81" s="19" t="s">
        <v>912</v>
      </c>
      <c r="G81" s="19" t="s">
        <v>1021</v>
      </c>
      <c r="H81" s="19" t="s">
        <v>1016</v>
      </c>
      <c r="I81" s="24">
        <v>46262</v>
      </c>
      <c r="J81" s="24">
        <v>46272</v>
      </c>
      <c r="K81" s="20">
        <v>0</v>
      </c>
      <c r="L81" s="20">
        <v>4</v>
      </c>
    </row>
    <row r="82" spans="1:12" x14ac:dyDescent="0.25">
      <c r="A82" s="19" t="s">
        <v>806</v>
      </c>
      <c r="B82" s="19" t="s">
        <v>823</v>
      </c>
      <c r="C82" s="19" t="s">
        <v>1087</v>
      </c>
      <c r="D82" s="19" t="s">
        <v>839</v>
      </c>
      <c r="E82" s="19" t="s">
        <v>863</v>
      </c>
      <c r="F82" s="19" t="s">
        <v>907</v>
      </c>
      <c r="G82" s="19" t="s">
        <v>1023</v>
      </c>
      <c r="H82" s="19" t="s">
        <v>1018</v>
      </c>
      <c r="I82" s="24">
        <v>46262</v>
      </c>
      <c r="J82" s="24">
        <v>46272</v>
      </c>
      <c r="K82" s="20">
        <v>0</v>
      </c>
      <c r="L82" s="20">
        <v>4</v>
      </c>
    </row>
    <row r="83" spans="1:12" x14ac:dyDescent="0.25">
      <c r="A83" s="19" t="s">
        <v>807</v>
      </c>
      <c r="B83" s="19" t="s">
        <v>824</v>
      </c>
      <c r="C83" s="19" t="s">
        <v>1088</v>
      </c>
      <c r="D83" s="19" t="s">
        <v>838</v>
      </c>
      <c r="E83" s="19" t="s">
        <v>862</v>
      </c>
      <c r="F83" s="19" t="s">
        <v>914</v>
      </c>
      <c r="G83" s="19" t="s">
        <v>1023</v>
      </c>
      <c r="H83" s="19" t="s">
        <v>1017</v>
      </c>
      <c r="I83" s="24">
        <v>46262</v>
      </c>
      <c r="J83" s="24">
        <v>46272</v>
      </c>
      <c r="K83" s="20">
        <v>0</v>
      </c>
      <c r="L83" s="20">
        <v>4</v>
      </c>
    </row>
    <row r="84" spans="1:12" x14ac:dyDescent="0.25">
      <c r="A84" s="19" t="s">
        <v>808</v>
      </c>
      <c r="B84" s="19" t="s">
        <v>824</v>
      </c>
      <c r="C84" s="19" t="s">
        <v>1087</v>
      </c>
      <c r="D84" s="19" t="s">
        <v>839</v>
      </c>
      <c r="E84" s="19" t="s">
        <v>863</v>
      </c>
      <c r="F84" s="19" t="s">
        <v>925</v>
      </c>
      <c r="G84" s="19" t="s">
        <v>1021</v>
      </c>
      <c r="H84" s="19" t="s">
        <v>1018</v>
      </c>
      <c r="I84" s="24">
        <v>46262</v>
      </c>
      <c r="J84" s="24">
        <v>46272</v>
      </c>
      <c r="K84" s="20">
        <v>0</v>
      </c>
      <c r="L84" s="20">
        <v>4</v>
      </c>
    </row>
    <row r="85" spans="1:12" x14ac:dyDescent="0.25">
      <c r="A85" s="19" t="s">
        <v>809</v>
      </c>
      <c r="B85" s="19" t="s">
        <v>824</v>
      </c>
      <c r="C85" s="19" t="s">
        <v>1088</v>
      </c>
      <c r="D85" s="19" t="s">
        <v>855</v>
      </c>
      <c r="E85" s="19" t="s">
        <v>879</v>
      </c>
      <c r="F85" s="19" t="s">
        <v>914</v>
      </c>
      <c r="G85" s="19" t="s">
        <v>1023</v>
      </c>
      <c r="H85" s="19" t="s">
        <v>1018</v>
      </c>
      <c r="I85" s="24">
        <v>46262</v>
      </c>
      <c r="J85" s="24">
        <v>46272</v>
      </c>
      <c r="K85" s="20">
        <v>0</v>
      </c>
      <c r="L85" s="20">
        <v>4</v>
      </c>
    </row>
    <row r="86" spans="1:12" x14ac:dyDescent="0.25">
      <c r="A86" s="19" t="s">
        <v>810</v>
      </c>
      <c r="B86" s="19" t="s">
        <v>824</v>
      </c>
      <c r="C86" s="19" t="s">
        <v>1088</v>
      </c>
      <c r="D86" s="19" t="s">
        <v>840</v>
      </c>
      <c r="E86" s="19" t="s">
        <v>864</v>
      </c>
      <c r="F86" s="19" t="s">
        <v>914</v>
      </c>
      <c r="G86" s="19" t="s">
        <v>1023</v>
      </c>
      <c r="H86" s="19" t="s">
        <v>1016</v>
      </c>
      <c r="I86" s="24">
        <v>46262</v>
      </c>
      <c r="J86" s="24">
        <v>46272</v>
      </c>
      <c r="K86" s="20">
        <v>0</v>
      </c>
      <c r="L86" s="20">
        <v>4</v>
      </c>
    </row>
    <row r="87" spans="1:12" x14ac:dyDescent="0.25">
      <c r="A87" s="19" t="s">
        <v>815</v>
      </c>
      <c r="B87" s="19" t="s">
        <v>824</v>
      </c>
      <c r="C87" s="19" t="s">
        <v>1087</v>
      </c>
      <c r="D87" s="19" t="s">
        <v>835</v>
      </c>
      <c r="E87" s="19" t="s">
        <v>859</v>
      </c>
      <c r="F87" s="19" t="s">
        <v>910</v>
      </c>
      <c r="G87" s="19" t="s">
        <v>1021</v>
      </c>
      <c r="H87" s="19" t="s">
        <v>1017</v>
      </c>
      <c r="I87" s="24">
        <v>46263</v>
      </c>
      <c r="J87" s="24">
        <v>46273</v>
      </c>
      <c r="K87" s="20">
        <v>0</v>
      </c>
      <c r="L87" s="20">
        <v>3</v>
      </c>
    </row>
    <row r="88" spans="1:12" x14ac:dyDescent="0.25">
      <c r="A88" s="19" t="s">
        <v>817</v>
      </c>
      <c r="B88" s="19" t="s">
        <v>823</v>
      </c>
      <c r="C88" s="19" t="s">
        <v>1091</v>
      </c>
      <c r="D88" s="19" t="s">
        <v>848</v>
      </c>
      <c r="E88" s="19" t="s">
        <v>872</v>
      </c>
      <c r="F88" s="19" t="s">
        <v>907</v>
      </c>
      <c r="G88" s="19" t="s">
        <v>1021</v>
      </c>
      <c r="H88" s="19" t="s">
        <v>1016</v>
      </c>
      <c r="I88" s="24">
        <v>46265</v>
      </c>
      <c r="J88" s="24">
        <v>46275</v>
      </c>
      <c r="K88" s="20">
        <v>0</v>
      </c>
      <c r="L88" s="20">
        <v>1</v>
      </c>
    </row>
    <row r="89" spans="1:12" x14ac:dyDescent="0.25">
      <c r="A89" s="19" t="s">
        <v>818</v>
      </c>
      <c r="B89" s="19" t="s">
        <v>823</v>
      </c>
      <c r="C89" s="19" t="s">
        <v>1088</v>
      </c>
      <c r="D89" s="19" t="s">
        <v>855</v>
      </c>
      <c r="E89" s="19" t="s">
        <v>879</v>
      </c>
      <c r="F89" s="19" t="s">
        <v>909</v>
      </c>
      <c r="G89" s="19" t="s">
        <v>1021</v>
      </c>
      <c r="H89" s="19" t="s">
        <v>1017</v>
      </c>
      <c r="I89" s="24">
        <v>46265</v>
      </c>
      <c r="J89" s="24">
        <v>46275</v>
      </c>
      <c r="K89" s="20">
        <v>0</v>
      </c>
      <c r="L89" s="20">
        <v>1</v>
      </c>
    </row>
  </sheetData>
  <autoFilter ref="A15:L89"/>
  <conditionalFormatting sqref="F5:F12">
    <cfRule type="dataBar" priority="1">
      <dataBar>
        <cfvo type="min"/>
        <cfvo type="max"/>
        <color rgb="FFF4A259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K16:K89">
    <cfRule type="cellIs" dxfId="0" priority="2" operator="greaterThan">
      <formula>0</formula>
    </cfRule>
  </conditionalFormatting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F4A259"/>
              <x14:negativeFillColor rgb="FFFF0000"/>
              <x14:negativeBorderColor rgb="FFFF0000"/>
              <x14:axisColor rgb="FF000000"/>
            </x14:dataBar>
          </x14:cfRule>
          <xm:sqref>F5:F12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showGridLines="0" zoomScale="90" zoomScaleNormal="90" workbookViewId="0"/>
  </sheetViews>
  <sheetFormatPr defaultRowHeight="15"/>
  <cols>
    <col min="1" max="1" width="52.7109375" customWidth="1"/>
    <col min="2" max="2" width="14.7109375" customWidth="1"/>
  </cols>
  <sheetData>
    <row r="1" spans="1:2">
      <c r="A1" s="1" t="s">
        <v>1100</v>
      </c>
    </row>
    <row r="2" spans="1:2">
      <c r="A2" s="2" t="s">
        <v>1101</v>
      </c>
    </row>
    <row r="4" spans="1:2">
      <c r="A4" s="3" t="s">
        <v>1102</v>
      </c>
      <c r="B4" s="4">
        <v>80</v>
      </c>
    </row>
    <row r="6" spans="1:2">
      <c r="A6" s="12" t="s">
        <v>1103</v>
      </c>
      <c r="B6" s="12" t="s">
        <v>1104</v>
      </c>
    </row>
    <row r="7" spans="1:2">
      <c r="A7" s="19" t="s">
        <v>1105</v>
      </c>
      <c r="B7" s="20">
        <v>822</v>
      </c>
    </row>
    <row r="8" spans="1:2">
      <c r="A8" s="19" t="s">
        <v>1106</v>
      </c>
      <c r="B8" s="20">
        <v>1</v>
      </c>
    </row>
    <row r="9" spans="1:2">
      <c r="A9" s="19" t="s">
        <v>1107</v>
      </c>
      <c r="B9" s="20">
        <v>0</v>
      </c>
    </row>
    <row r="10" spans="1:2">
      <c r="A10" s="19" t="s">
        <v>1108</v>
      </c>
      <c r="B10" s="20">
        <v>128</v>
      </c>
    </row>
    <row r="11" spans="1:2">
      <c r="A11" s="19" t="s">
        <v>1109</v>
      </c>
      <c r="B11" s="20">
        <v>3</v>
      </c>
    </row>
    <row r="12" spans="1:2">
      <c r="A12" s="19" t="s">
        <v>1110</v>
      </c>
      <c r="B12" s="20">
        <v>1</v>
      </c>
    </row>
    <row r="13" spans="1:2">
      <c r="A13" s="19" t="s">
        <v>1111</v>
      </c>
      <c r="B13" s="20">
        <v>6</v>
      </c>
    </row>
  </sheetData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22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8.7109375" customWidth="1"/>
    <col min="3" max="3" width="11.7109375" customWidth="1"/>
    <col min="4" max="4" width="8.7109375" customWidth="1"/>
    <col min="5" max="5" width="12.7109375" customWidth="1"/>
    <col min="6" max="6" width="30.7109375" customWidth="1"/>
    <col min="7" max="7" width="14.7109375" customWidth="1"/>
    <col min="8" max="8" width="38.7109375" customWidth="1"/>
    <col min="9" max="9" width="22.7109375" customWidth="1"/>
    <col min="10" max="10" width="16.7109375" customWidth="1"/>
    <col min="11" max="11" width="12.7109375" customWidth="1"/>
    <col min="12" max="13" width="15.7109375" customWidth="1"/>
    <col min="14" max="14" width="9.7109375" customWidth="1"/>
    <col min="15" max="15" width="12.7109375" customWidth="1"/>
    <col min="16" max="16" width="11.7109375" customWidth="1"/>
    <col min="17" max="18" width="8.7109375" customWidth="1"/>
    <col min="19" max="19" width="10.7109375" customWidth="1"/>
  </cols>
  <sheetData>
    <row r="1" spans="1:19" ht="30" customHeight="1">
      <c r="A1" s="12" t="s">
        <v>0</v>
      </c>
      <c r="B1" s="12" t="s">
        <v>822</v>
      </c>
      <c r="C1" s="12" t="s">
        <v>827</v>
      </c>
      <c r="D1" s="12" t="s">
        <v>832</v>
      </c>
      <c r="E1" s="12" t="s">
        <v>833</v>
      </c>
      <c r="F1" s="12" t="s">
        <v>857</v>
      </c>
      <c r="G1" s="12" t="s">
        <v>881</v>
      </c>
      <c r="H1" s="12" t="s">
        <v>905</v>
      </c>
      <c r="I1" s="12" t="s">
        <v>988</v>
      </c>
      <c r="J1" s="12" t="s">
        <v>1003</v>
      </c>
      <c r="K1" s="12" t="s">
        <v>1008</v>
      </c>
      <c r="L1" s="12" t="s">
        <v>1009</v>
      </c>
      <c r="M1" s="12" t="s">
        <v>1010</v>
      </c>
      <c r="N1" s="12" t="s">
        <v>1011</v>
      </c>
      <c r="O1" s="12" t="s">
        <v>1012</v>
      </c>
      <c r="P1" s="12" t="s">
        <v>1013</v>
      </c>
      <c r="Q1" s="12" t="s">
        <v>1019</v>
      </c>
      <c r="R1" s="12" t="s">
        <v>1020</v>
      </c>
      <c r="S1" s="12" t="s">
        <v>1025</v>
      </c>
    </row>
    <row r="2" spans="1:19">
      <c r="A2" s="19" t="s">
        <v>1</v>
      </c>
      <c r="B2" s="19" t="s">
        <v>823</v>
      </c>
      <c r="C2" s="19" t="s">
        <v>828</v>
      </c>
      <c r="D2" s="20">
        <v>0</v>
      </c>
      <c r="E2" s="19" t="s">
        <v>834</v>
      </c>
      <c r="F2" s="19" t="s">
        <v>858</v>
      </c>
      <c r="G2" s="19" t="s">
        <v>882</v>
      </c>
      <c r="H2" s="19" t="s">
        <v>906</v>
      </c>
      <c r="I2" s="19" t="s">
        <v>989</v>
      </c>
      <c r="J2" s="19" t="s">
        <v>1004</v>
      </c>
      <c r="K2" s="24">
        <v>45901</v>
      </c>
      <c r="L2" s="19"/>
      <c r="M2" s="19"/>
      <c r="N2" s="21">
        <v>0</v>
      </c>
      <c r="O2" s="23">
        <v>473.37</v>
      </c>
      <c r="P2" s="19" t="s">
        <v>1014</v>
      </c>
      <c r="Q2" s="20">
        <v>0</v>
      </c>
      <c r="R2" s="19" t="s">
        <v>1021</v>
      </c>
      <c r="S2" s="19"/>
    </row>
    <row r="3" spans="1:19">
      <c r="A3" s="19" t="s">
        <v>2</v>
      </c>
      <c r="B3" s="19" t="s">
        <v>823</v>
      </c>
      <c r="C3" s="19" t="s">
        <v>828</v>
      </c>
      <c r="D3" s="20">
        <v>0</v>
      </c>
      <c r="E3" s="19" t="s">
        <v>835</v>
      </c>
      <c r="F3" s="19" t="s">
        <v>859</v>
      </c>
      <c r="G3" s="19" t="s">
        <v>883</v>
      </c>
      <c r="H3" s="19" t="s">
        <v>907</v>
      </c>
      <c r="I3" s="19" t="s">
        <v>989</v>
      </c>
      <c r="J3" s="19" t="s">
        <v>1004</v>
      </c>
      <c r="K3" s="24">
        <v>45901</v>
      </c>
      <c r="L3" s="19"/>
      <c r="M3" s="19"/>
      <c r="N3" s="21">
        <v>0</v>
      </c>
      <c r="O3" s="23">
        <v>509.69</v>
      </c>
      <c r="P3" s="19" t="s">
        <v>1014</v>
      </c>
      <c r="Q3" s="20">
        <v>0</v>
      </c>
      <c r="R3" s="19" t="s">
        <v>1022</v>
      </c>
      <c r="S3" s="19"/>
    </row>
    <row r="4" spans="1:19">
      <c r="A4" s="19" t="s">
        <v>3</v>
      </c>
      <c r="B4" s="19" t="s">
        <v>824</v>
      </c>
      <c r="C4" s="19" t="s">
        <v>829</v>
      </c>
      <c r="D4" s="20">
        <v>0</v>
      </c>
      <c r="E4" s="19" t="s">
        <v>836</v>
      </c>
      <c r="F4" s="19" t="s">
        <v>860</v>
      </c>
      <c r="G4" s="19" t="s">
        <v>884</v>
      </c>
      <c r="H4" s="19" t="s">
        <v>908</v>
      </c>
      <c r="I4" s="19" t="s">
        <v>989</v>
      </c>
      <c r="J4" s="19" t="s">
        <v>1004</v>
      </c>
      <c r="K4" s="24">
        <v>45901</v>
      </c>
      <c r="L4" s="19"/>
      <c r="M4" s="19"/>
      <c r="N4" s="21">
        <v>0</v>
      </c>
      <c r="O4" s="23">
        <v>120</v>
      </c>
      <c r="P4" s="19" t="s">
        <v>1014</v>
      </c>
      <c r="Q4" s="20">
        <v>0</v>
      </c>
      <c r="R4" s="19" t="s">
        <v>1023</v>
      </c>
      <c r="S4" s="19"/>
    </row>
    <row r="5" spans="1:19">
      <c r="A5" s="19" t="s">
        <v>4</v>
      </c>
      <c r="B5" s="19" t="s">
        <v>823</v>
      </c>
      <c r="C5" s="19" t="s">
        <v>828</v>
      </c>
      <c r="D5" s="20">
        <v>0</v>
      </c>
      <c r="E5" s="19" t="s">
        <v>837</v>
      </c>
      <c r="F5" s="19" t="s">
        <v>861</v>
      </c>
      <c r="G5" s="19" t="s">
        <v>885</v>
      </c>
      <c r="H5" s="19" t="s">
        <v>909</v>
      </c>
      <c r="I5" s="19" t="s">
        <v>989</v>
      </c>
      <c r="J5" s="19" t="s">
        <v>1004</v>
      </c>
      <c r="K5" s="24">
        <v>45902</v>
      </c>
      <c r="L5" s="19"/>
      <c r="M5" s="19"/>
      <c r="N5" s="21">
        <v>0</v>
      </c>
      <c r="O5" s="23">
        <v>799.72</v>
      </c>
      <c r="P5" s="19" t="s">
        <v>1015</v>
      </c>
      <c r="Q5" s="20">
        <v>0</v>
      </c>
      <c r="R5" s="19" t="s">
        <v>1022</v>
      </c>
      <c r="S5" s="19"/>
    </row>
    <row r="6" spans="1:19">
      <c r="A6" s="19" t="s">
        <v>5</v>
      </c>
      <c r="B6" s="19" t="s">
        <v>824</v>
      </c>
      <c r="C6" s="19" t="s">
        <v>829</v>
      </c>
      <c r="D6" s="20">
        <v>0</v>
      </c>
      <c r="E6" s="19" t="s">
        <v>838</v>
      </c>
      <c r="F6" s="19" t="s">
        <v>862</v>
      </c>
      <c r="G6" s="19" t="s">
        <v>886</v>
      </c>
      <c r="H6" s="19" t="s">
        <v>910</v>
      </c>
      <c r="I6" s="19" t="s">
        <v>989</v>
      </c>
      <c r="J6" s="19" t="s">
        <v>1004</v>
      </c>
      <c r="K6" s="24">
        <v>45902</v>
      </c>
      <c r="L6" s="19"/>
      <c r="M6" s="19"/>
      <c r="N6" s="21">
        <v>0</v>
      </c>
      <c r="O6" s="23">
        <v>80</v>
      </c>
      <c r="P6" s="19" t="s">
        <v>1014</v>
      </c>
      <c r="Q6" s="20">
        <v>0</v>
      </c>
      <c r="R6" s="19" t="s">
        <v>1022</v>
      </c>
      <c r="S6" s="19"/>
    </row>
    <row r="7" spans="1:19">
      <c r="A7" s="19" t="s">
        <v>6</v>
      </c>
      <c r="B7" s="19" t="s">
        <v>824</v>
      </c>
      <c r="C7" s="19" t="s">
        <v>829</v>
      </c>
      <c r="D7" s="20">
        <v>0</v>
      </c>
      <c r="E7" s="19" t="s">
        <v>839</v>
      </c>
      <c r="F7" s="19" t="s">
        <v>863</v>
      </c>
      <c r="G7" s="19" t="s">
        <v>887</v>
      </c>
      <c r="H7" s="19" t="s">
        <v>908</v>
      </c>
      <c r="I7" s="19" t="s">
        <v>989</v>
      </c>
      <c r="J7" s="19" t="s">
        <v>1004</v>
      </c>
      <c r="K7" s="24">
        <v>45902</v>
      </c>
      <c r="L7" s="19"/>
      <c r="M7" s="19"/>
      <c r="N7" s="21">
        <v>0</v>
      </c>
      <c r="O7" s="23">
        <v>160</v>
      </c>
      <c r="P7" s="19" t="s">
        <v>1015</v>
      </c>
      <c r="Q7" s="20">
        <v>0</v>
      </c>
      <c r="R7" s="19" t="s">
        <v>1023</v>
      </c>
      <c r="S7" s="19"/>
    </row>
    <row r="8" spans="1:19">
      <c r="A8" s="19" t="s">
        <v>7</v>
      </c>
      <c r="B8" s="19" t="s">
        <v>824</v>
      </c>
      <c r="C8" s="19" t="s">
        <v>829</v>
      </c>
      <c r="D8" s="20">
        <v>0</v>
      </c>
      <c r="E8" s="19" t="s">
        <v>840</v>
      </c>
      <c r="F8" s="19" t="s">
        <v>864</v>
      </c>
      <c r="G8" s="19" t="s">
        <v>888</v>
      </c>
      <c r="H8" s="19" t="s">
        <v>908</v>
      </c>
      <c r="I8" s="19" t="s">
        <v>989</v>
      </c>
      <c r="J8" s="19" t="s">
        <v>1004</v>
      </c>
      <c r="K8" s="24">
        <v>45902</v>
      </c>
      <c r="L8" s="19"/>
      <c r="M8" s="19"/>
      <c r="N8" s="21">
        <v>0</v>
      </c>
      <c r="O8" s="23">
        <v>240</v>
      </c>
      <c r="P8" s="19" t="s">
        <v>1015</v>
      </c>
      <c r="Q8" s="20">
        <v>0</v>
      </c>
      <c r="R8" s="19" t="s">
        <v>1022</v>
      </c>
      <c r="S8" s="19"/>
    </row>
    <row r="9" spans="1:19">
      <c r="A9" s="19" t="s">
        <v>8</v>
      </c>
      <c r="B9" s="19" t="s">
        <v>823</v>
      </c>
      <c r="C9" s="19" t="s">
        <v>828</v>
      </c>
      <c r="D9" s="20">
        <v>0</v>
      </c>
      <c r="E9" s="19" t="s">
        <v>841</v>
      </c>
      <c r="F9" s="19" t="s">
        <v>865</v>
      </c>
      <c r="G9" s="19" t="s">
        <v>889</v>
      </c>
      <c r="H9" s="19" t="s">
        <v>911</v>
      </c>
      <c r="I9" s="19" t="s">
        <v>989</v>
      </c>
      <c r="J9" s="19" t="s">
        <v>1004</v>
      </c>
      <c r="K9" s="24">
        <v>45903</v>
      </c>
      <c r="L9" s="19"/>
      <c r="M9" s="19"/>
      <c r="N9" s="21">
        <v>0</v>
      </c>
      <c r="O9" s="23">
        <v>1363.1</v>
      </c>
      <c r="P9" s="19" t="s">
        <v>1015</v>
      </c>
      <c r="Q9" s="20">
        <v>0</v>
      </c>
      <c r="R9" s="19" t="s">
        <v>1023</v>
      </c>
      <c r="S9" s="19"/>
    </row>
    <row r="10" spans="1:19">
      <c r="A10" s="19" t="s">
        <v>9</v>
      </c>
      <c r="B10" s="19" t="s">
        <v>823</v>
      </c>
      <c r="C10" s="19" t="s">
        <v>828</v>
      </c>
      <c r="D10" s="20">
        <v>0</v>
      </c>
      <c r="E10" s="19" t="s">
        <v>839</v>
      </c>
      <c r="F10" s="19" t="s">
        <v>863</v>
      </c>
      <c r="G10" s="19" t="s">
        <v>887</v>
      </c>
      <c r="H10" s="19" t="s">
        <v>912</v>
      </c>
      <c r="I10" s="19" t="s">
        <v>989</v>
      </c>
      <c r="J10" s="19" t="s">
        <v>1004</v>
      </c>
      <c r="K10" s="24">
        <v>45905</v>
      </c>
      <c r="L10" s="19"/>
      <c r="M10" s="19"/>
      <c r="N10" s="21">
        <v>0</v>
      </c>
      <c r="O10" s="23">
        <v>529.96</v>
      </c>
      <c r="P10" s="19" t="s">
        <v>1015</v>
      </c>
      <c r="Q10" s="20">
        <v>0</v>
      </c>
      <c r="R10" s="19" t="s">
        <v>1022</v>
      </c>
      <c r="S10" s="19"/>
    </row>
    <row r="11" spans="1:19">
      <c r="A11" s="19" t="s">
        <v>10</v>
      </c>
      <c r="B11" s="19" t="s">
        <v>823</v>
      </c>
      <c r="C11" s="19" t="s">
        <v>828</v>
      </c>
      <c r="D11" s="20">
        <v>0</v>
      </c>
      <c r="E11" s="19" t="s">
        <v>842</v>
      </c>
      <c r="F11" s="19" t="s">
        <v>866</v>
      </c>
      <c r="G11" s="19" t="s">
        <v>890</v>
      </c>
      <c r="H11" s="19" t="s">
        <v>912</v>
      </c>
      <c r="I11" s="19" t="s">
        <v>989</v>
      </c>
      <c r="J11" s="19" t="s">
        <v>1004</v>
      </c>
      <c r="K11" s="24">
        <v>45905</v>
      </c>
      <c r="L11" s="19"/>
      <c r="M11" s="19"/>
      <c r="N11" s="21">
        <v>0</v>
      </c>
      <c r="O11" s="23">
        <v>869.34</v>
      </c>
      <c r="P11" s="19" t="s">
        <v>1015</v>
      </c>
      <c r="Q11" s="20">
        <v>0</v>
      </c>
      <c r="R11" s="19" t="s">
        <v>1022</v>
      </c>
      <c r="S11" s="19"/>
    </row>
    <row r="12" spans="1:19">
      <c r="A12" s="19" t="s">
        <v>11</v>
      </c>
      <c r="B12" s="19" t="s">
        <v>824</v>
      </c>
      <c r="C12" s="19" t="s">
        <v>829</v>
      </c>
      <c r="D12" s="20">
        <v>0</v>
      </c>
      <c r="E12" s="19" t="s">
        <v>837</v>
      </c>
      <c r="F12" s="19" t="s">
        <v>861</v>
      </c>
      <c r="G12" s="19" t="s">
        <v>885</v>
      </c>
      <c r="H12" s="19" t="s">
        <v>908</v>
      </c>
      <c r="I12" s="19" t="s">
        <v>989</v>
      </c>
      <c r="J12" s="19" t="s">
        <v>1004</v>
      </c>
      <c r="K12" s="24">
        <v>45905</v>
      </c>
      <c r="L12" s="19"/>
      <c r="M12" s="19"/>
      <c r="N12" s="21">
        <v>0</v>
      </c>
      <c r="O12" s="23">
        <v>260</v>
      </c>
      <c r="P12" s="19" t="s">
        <v>1014</v>
      </c>
      <c r="Q12" s="20">
        <v>0</v>
      </c>
      <c r="R12" s="19" t="s">
        <v>1021</v>
      </c>
      <c r="S12" s="19"/>
    </row>
    <row r="13" spans="1:19">
      <c r="A13" s="19" t="s">
        <v>12</v>
      </c>
      <c r="B13" s="19" t="s">
        <v>825</v>
      </c>
      <c r="C13" s="19" t="s">
        <v>830</v>
      </c>
      <c r="D13" s="20">
        <v>1</v>
      </c>
      <c r="E13" s="19" t="s">
        <v>843</v>
      </c>
      <c r="F13" s="19" t="s">
        <v>867</v>
      </c>
      <c r="G13" s="19" t="s">
        <v>891</v>
      </c>
      <c r="H13" s="19" t="s">
        <v>913</v>
      </c>
      <c r="I13" s="19" t="s">
        <v>990</v>
      </c>
      <c r="J13" s="19" t="s">
        <v>1005</v>
      </c>
      <c r="K13" s="24">
        <v>45905</v>
      </c>
      <c r="L13" s="26">
        <v>45905.74375</v>
      </c>
      <c r="M13" s="26">
        <v>45905.55208333334</v>
      </c>
      <c r="N13" s="21">
        <v>0</v>
      </c>
      <c r="O13" s="23">
        <v>1350.24</v>
      </c>
      <c r="P13" s="19" t="s">
        <v>1015</v>
      </c>
      <c r="Q13" s="20">
        <v>0</v>
      </c>
      <c r="R13" s="19" t="s">
        <v>1022</v>
      </c>
      <c r="S13" s="19" t="s">
        <v>1026</v>
      </c>
    </row>
    <row r="14" spans="1:19">
      <c r="A14" s="19" t="s">
        <v>13</v>
      </c>
      <c r="B14" s="19" t="s">
        <v>823</v>
      </c>
      <c r="C14" s="19" t="s">
        <v>828</v>
      </c>
      <c r="D14" s="20">
        <v>0</v>
      </c>
      <c r="E14" s="19" t="s">
        <v>844</v>
      </c>
      <c r="F14" s="19" t="s">
        <v>868</v>
      </c>
      <c r="G14" s="19" t="s">
        <v>892</v>
      </c>
      <c r="H14" s="19" t="s">
        <v>909</v>
      </c>
      <c r="I14" s="19" t="s">
        <v>989</v>
      </c>
      <c r="J14" s="19" t="s">
        <v>1004</v>
      </c>
      <c r="K14" s="24">
        <v>45906</v>
      </c>
      <c r="L14" s="19"/>
      <c r="M14" s="19"/>
      <c r="N14" s="21">
        <v>0</v>
      </c>
      <c r="O14" s="23">
        <v>266.19</v>
      </c>
      <c r="P14" s="19" t="s">
        <v>1014</v>
      </c>
      <c r="Q14" s="20">
        <v>0</v>
      </c>
      <c r="R14" s="19" t="s">
        <v>1023</v>
      </c>
      <c r="S14" s="19"/>
    </row>
    <row r="15" spans="1:19">
      <c r="A15" s="19" t="s">
        <v>14</v>
      </c>
      <c r="B15" s="19" t="s">
        <v>824</v>
      </c>
      <c r="C15" s="19" t="s">
        <v>829</v>
      </c>
      <c r="D15" s="20">
        <v>0</v>
      </c>
      <c r="E15" s="19" t="s">
        <v>845</v>
      </c>
      <c r="F15" s="19" t="s">
        <v>869</v>
      </c>
      <c r="G15" s="19" t="s">
        <v>893</v>
      </c>
      <c r="H15" s="19" t="s">
        <v>914</v>
      </c>
      <c r="I15" s="19" t="s">
        <v>989</v>
      </c>
      <c r="J15" s="19" t="s">
        <v>1004</v>
      </c>
      <c r="K15" s="24">
        <v>45906</v>
      </c>
      <c r="L15" s="19"/>
      <c r="M15" s="19"/>
      <c r="N15" s="21">
        <v>0</v>
      </c>
      <c r="O15" s="23">
        <v>360</v>
      </c>
      <c r="P15" s="19" t="s">
        <v>1014</v>
      </c>
      <c r="Q15" s="20">
        <v>0</v>
      </c>
      <c r="R15" s="19" t="s">
        <v>1021</v>
      </c>
      <c r="S15" s="19"/>
    </row>
    <row r="16" spans="1:19">
      <c r="A16" s="19" t="s">
        <v>15</v>
      </c>
      <c r="B16" s="19" t="s">
        <v>824</v>
      </c>
      <c r="C16" s="19" t="s">
        <v>829</v>
      </c>
      <c r="D16" s="20">
        <v>0</v>
      </c>
      <c r="E16" s="19" t="s">
        <v>846</v>
      </c>
      <c r="F16" s="19" t="s">
        <v>870</v>
      </c>
      <c r="G16" s="19" t="s">
        <v>894</v>
      </c>
      <c r="H16" s="19" t="s">
        <v>908</v>
      </c>
      <c r="I16" s="19" t="s">
        <v>989</v>
      </c>
      <c r="J16" s="19" t="s">
        <v>1004</v>
      </c>
      <c r="K16" s="24">
        <v>45906</v>
      </c>
      <c r="L16" s="19"/>
      <c r="M16" s="19"/>
      <c r="N16" s="21">
        <v>0</v>
      </c>
      <c r="O16" s="23">
        <v>100</v>
      </c>
      <c r="P16" s="19" t="s">
        <v>1014</v>
      </c>
      <c r="Q16" s="20">
        <v>0</v>
      </c>
      <c r="R16" s="19" t="s">
        <v>1022</v>
      </c>
      <c r="S16" s="19"/>
    </row>
    <row r="17" spans="1:19">
      <c r="A17" s="19" t="s">
        <v>16</v>
      </c>
      <c r="B17" s="19" t="s">
        <v>824</v>
      </c>
      <c r="C17" s="19" t="s">
        <v>829</v>
      </c>
      <c r="D17" s="20">
        <v>0</v>
      </c>
      <c r="E17" s="19" t="s">
        <v>847</v>
      </c>
      <c r="F17" s="19" t="s">
        <v>871</v>
      </c>
      <c r="G17" s="19" t="s">
        <v>895</v>
      </c>
      <c r="H17" s="19" t="s">
        <v>914</v>
      </c>
      <c r="I17" s="19" t="s">
        <v>989</v>
      </c>
      <c r="J17" s="19" t="s">
        <v>1004</v>
      </c>
      <c r="K17" s="24">
        <v>45906</v>
      </c>
      <c r="L17" s="19"/>
      <c r="M17" s="19"/>
      <c r="N17" s="21">
        <v>0</v>
      </c>
      <c r="O17" s="23">
        <v>140</v>
      </c>
      <c r="P17" s="19" t="s">
        <v>1015</v>
      </c>
      <c r="Q17" s="20">
        <v>0</v>
      </c>
      <c r="R17" s="19" t="s">
        <v>1022</v>
      </c>
      <c r="S17" s="19"/>
    </row>
    <row r="18" spans="1:19">
      <c r="A18" s="19" t="s">
        <v>17</v>
      </c>
      <c r="B18" s="19" t="s">
        <v>823</v>
      </c>
      <c r="C18" s="19" t="s">
        <v>828</v>
      </c>
      <c r="D18" s="20">
        <v>0</v>
      </c>
      <c r="E18" s="19" t="s">
        <v>843</v>
      </c>
      <c r="F18" s="19" t="s">
        <v>867</v>
      </c>
      <c r="G18" s="19" t="s">
        <v>891</v>
      </c>
      <c r="H18" s="19" t="s">
        <v>912</v>
      </c>
      <c r="I18" s="19" t="s">
        <v>989</v>
      </c>
      <c r="J18" s="19" t="s">
        <v>1004</v>
      </c>
      <c r="K18" s="24">
        <v>45907</v>
      </c>
      <c r="L18" s="19"/>
      <c r="M18" s="19"/>
      <c r="N18" s="21">
        <v>0</v>
      </c>
      <c r="O18" s="23">
        <v>280.96</v>
      </c>
      <c r="P18" s="19" t="s">
        <v>1015</v>
      </c>
      <c r="Q18" s="20">
        <v>0</v>
      </c>
      <c r="R18" s="19" t="s">
        <v>1021</v>
      </c>
      <c r="S18" s="19"/>
    </row>
    <row r="19" spans="1:19">
      <c r="A19" s="19" t="s">
        <v>18</v>
      </c>
      <c r="B19" s="19" t="s">
        <v>824</v>
      </c>
      <c r="C19" s="19" t="s">
        <v>829</v>
      </c>
      <c r="D19" s="20">
        <v>0</v>
      </c>
      <c r="E19" s="19" t="s">
        <v>843</v>
      </c>
      <c r="F19" s="19" t="s">
        <v>867</v>
      </c>
      <c r="G19" s="19" t="s">
        <v>891</v>
      </c>
      <c r="H19" s="19" t="s">
        <v>914</v>
      </c>
      <c r="I19" s="19" t="s">
        <v>989</v>
      </c>
      <c r="J19" s="19" t="s">
        <v>1004</v>
      </c>
      <c r="K19" s="24">
        <v>45907</v>
      </c>
      <c r="L19" s="19"/>
      <c r="M19" s="19"/>
      <c r="N19" s="21">
        <v>0</v>
      </c>
      <c r="O19" s="23">
        <v>88</v>
      </c>
      <c r="P19" s="19" t="s">
        <v>1014</v>
      </c>
      <c r="Q19" s="20">
        <v>0</v>
      </c>
      <c r="R19" s="19" t="s">
        <v>1022</v>
      </c>
      <c r="S19" s="19"/>
    </row>
    <row r="20" spans="1:19">
      <c r="A20" s="19" t="s">
        <v>19</v>
      </c>
      <c r="B20" s="19" t="s">
        <v>823</v>
      </c>
      <c r="C20" s="19" t="s">
        <v>828</v>
      </c>
      <c r="D20" s="20">
        <v>0</v>
      </c>
      <c r="E20" s="19" t="s">
        <v>848</v>
      </c>
      <c r="F20" s="19" t="s">
        <v>872</v>
      </c>
      <c r="G20" s="19" t="s">
        <v>896</v>
      </c>
      <c r="H20" s="19" t="s">
        <v>909</v>
      </c>
      <c r="I20" s="19" t="s">
        <v>989</v>
      </c>
      <c r="J20" s="19" t="s">
        <v>1004</v>
      </c>
      <c r="K20" s="24">
        <v>45908</v>
      </c>
      <c r="L20" s="19"/>
      <c r="M20" s="19"/>
      <c r="N20" s="21">
        <v>0</v>
      </c>
      <c r="O20" s="23">
        <v>2068.73</v>
      </c>
      <c r="P20" s="19" t="s">
        <v>1014</v>
      </c>
      <c r="Q20" s="20">
        <v>0</v>
      </c>
      <c r="R20" s="19" t="s">
        <v>1021</v>
      </c>
      <c r="S20" s="19"/>
    </row>
    <row r="21" spans="1:19">
      <c r="A21" s="19" t="s">
        <v>20</v>
      </c>
      <c r="B21" s="19" t="s">
        <v>823</v>
      </c>
      <c r="C21" s="19" t="s">
        <v>828</v>
      </c>
      <c r="D21" s="20">
        <v>0</v>
      </c>
      <c r="E21" s="19" t="s">
        <v>849</v>
      </c>
      <c r="F21" s="19" t="s">
        <v>873</v>
      </c>
      <c r="G21" s="19" t="s">
        <v>897</v>
      </c>
      <c r="H21" s="19" t="s">
        <v>909</v>
      </c>
      <c r="I21" s="19" t="s">
        <v>989</v>
      </c>
      <c r="J21" s="19" t="s">
        <v>1004</v>
      </c>
      <c r="K21" s="24">
        <v>45909</v>
      </c>
      <c r="L21" s="19"/>
      <c r="M21" s="19"/>
      <c r="N21" s="21">
        <v>0</v>
      </c>
      <c r="O21" s="23">
        <v>1170.08</v>
      </c>
      <c r="P21" s="19" t="s">
        <v>1015</v>
      </c>
      <c r="Q21" s="20">
        <v>0</v>
      </c>
      <c r="R21" s="19" t="s">
        <v>1023</v>
      </c>
      <c r="S21" s="19"/>
    </row>
    <row r="22" spans="1:19">
      <c r="A22" s="19" t="s">
        <v>21</v>
      </c>
      <c r="B22" s="19" t="s">
        <v>823</v>
      </c>
      <c r="C22" s="19" t="s">
        <v>828</v>
      </c>
      <c r="D22" s="20">
        <v>0</v>
      </c>
      <c r="E22" s="19" t="s">
        <v>850</v>
      </c>
      <c r="F22" s="19" t="s">
        <v>874</v>
      </c>
      <c r="G22" s="19" t="s">
        <v>898</v>
      </c>
      <c r="H22" s="19" t="s">
        <v>911</v>
      </c>
      <c r="I22" s="19" t="s">
        <v>989</v>
      </c>
      <c r="J22" s="19" t="s">
        <v>1004</v>
      </c>
      <c r="K22" s="24">
        <v>45910</v>
      </c>
      <c r="L22" s="19"/>
      <c r="M22" s="19"/>
      <c r="N22" s="21">
        <v>0</v>
      </c>
      <c r="O22" s="23">
        <v>345.22</v>
      </c>
      <c r="P22" s="19" t="s">
        <v>1015</v>
      </c>
      <c r="Q22" s="20">
        <v>0</v>
      </c>
      <c r="R22" s="19" t="s">
        <v>1022</v>
      </c>
      <c r="S22" s="19"/>
    </row>
    <row r="23" spans="1:19">
      <c r="A23" s="19" t="s">
        <v>22</v>
      </c>
      <c r="B23" s="19" t="s">
        <v>823</v>
      </c>
      <c r="C23" s="19" t="s">
        <v>828</v>
      </c>
      <c r="D23" s="20">
        <v>0</v>
      </c>
      <c r="E23" s="19" t="s">
        <v>851</v>
      </c>
      <c r="F23" s="19" t="s">
        <v>875</v>
      </c>
      <c r="G23" s="19" t="s">
        <v>899</v>
      </c>
      <c r="H23" s="19" t="s">
        <v>909</v>
      </c>
      <c r="I23" s="19" t="s">
        <v>989</v>
      </c>
      <c r="J23" s="19" t="s">
        <v>1004</v>
      </c>
      <c r="K23" s="24">
        <v>45910</v>
      </c>
      <c r="L23" s="19"/>
      <c r="M23" s="19"/>
      <c r="N23" s="21">
        <v>0</v>
      </c>
      <c r="O23" s="23">
        <v>448.08</v>
      </c>
      <c r="P23" s="19" t="s">
        <v>1015</v>
      </c>
      <c r="Q23" s="20">
        <v>0</v>
      </c>
      <c r="R23" s="19" t="s">
        <v>1021</v>
      </c>
      <c r="S23" s="19"/>
    </row>
    <row r="24" spans="1:19">
      <c r="A24" s="19" t="s">
        <v>23</v>
      </c>
      <c r="B24" s="19" t="s">
        <v>823</v>
      </c>
      <c r="C24" s="19" t="s">
        <v>828</v>
      </c>
      <c r="D24" s="20">
        <v>0</v>
      </c>
      <c r="E24" s="19" t="s">
        <v>838</v>
      </c>
      <c r="F24" s="19" t="s">
        <v>862</v>
      </c>
      <c r="G24" s="19" t="s">
        <v>886</v>
      </c>
      <c r="H24" s="19" t="s">
        <v>909</v>
      </c>
      <c r="I24" s="19" t="s">
        <v>989</v>
      </c>
      <c r="J24" s="19" t="s">
        <v>1004</v>
      </c>
      <c r="K24" s="24">
        <v>45911</v>
      </c>
      <c r="L24" s="19"/>
      <c r="M24" s="19"/>
      <c r="N24" s="21">
        <v>0</v>
      </c>
      <c r="O24" s="23">
        <v>297.34</v>
      </c>
      <c r="P24" s="19" t="s">
        <v>1014</v>
      </c>
      <c r="Q24" s="20">
        <v>0</v>
      </c>
      <c r="R24" s="19" t="s">
        <v>1023</v>
      </c>
      <c r="S24" s="19"/>
    </row>
    <row r="25" spans="1:19">
      <c r="A25" s="19" t="s">
        <v>24</v>
      </c>
      <c r="B25" s="19" t="s">
        <v>823</v>
      </c>
      <c r="C25" s="19" t="s">
        <v>828</v>
      </c>
      <c r="D25" s="20">
        <v>0</v>
      </c>
      <c r="E25" s="19" t="s">
        <v>846</v>
      </c>
      <c r="F25" s="19" t="s">
        <v>870</v>
      </c>
      <c r="G25" s="19" t="s">
        <v>894</v>
      </c>
      <c r="H25" s="19" t="s">
        <v>912</v>
      </c>
      <c r="I25" s="19" t="s">
        <v>989</v>
      </c>
      <c r="J25" s="19" t="s">
        <v>1004</v>
      </c>
      <c r="K25" s="24">
        <v>45911</v>
      </c>
      <c r="L25" s="19"/>
      <c r="M25" s="19"/>
      <c r="N25" s="21">
        <v>0</v>
      </c>
      <c r="O25" s="23">
        <v>302.82</v>
      </c>
      <c r="P25" s="19" t="s">
        <v>1015</v>
      </c>
      <c r="Q25" s="20">
        <v>0</v>
      </c>
      <c r="R25" s="19" t="s">
        <v>1021</v>
      </c>
      <c r="S25" s="19"/>
    </row>
    <row r="26" spans="1:19">
      <c r="A26" s="19" t="s">
        <v>25</v>
      </c>
      <c r="B26" s="19" t="s">
        <v>823</v>
      </c>
      <c r="C26" s="19" t="s">
        <v>828</v>
      </c>
      <c r="D26" s="20">
        <v>0</v>
      </c>
      <c r="E26" s="19" t="s">
        <v>840</v>
      </c>
      <c r="F26" s="19" t="s">
        <v>864</v>
      </c>
      <c r="G26" s="19" t="s">
        <v>888</v>
      </c>
      <c r="H26" s="19" t="s">
        <v>912</v>
      </c>
      <c r="I26" s="19" t="s">
        <v>989</v>
      </c>
      <c r="J26" s="19" t="s">
        <v>1004</v>
      </c>
      <c r="K26" s="24">
        <v>45911</v>
      </c>
      <c r="L26" s="19"/>
      <c r="M26" s="19"/>
      <c r="N26" s="21">
        <v>0</v>
      </c>
      <c r="O26" s="23">
        <v>576.9</v>
      </c>
      <c r="P26" s="19" t="s">
        <v>1015</v>
      </c>
      <c r="Q26" s="20">
        <v>0</v>
      </c>
      <c r="R26" s="19" t="s">
        <v>1023</v>
      </c>
      <c r="S26" s="19"/>
    </row>
    <row r="27" spans="1:19">
      <c r="A27" s="19" t="s">
        <v>26</v>
      </c>
      <c r="B27" s="19" t="s">
        <v>824</v>
      </c>
      <c r="C27" s="19" t="s">
        <v>829</v>
      </c>
      <c r="D27" s="20">
        <v>0</v>
      </c>
      <c r="E27" s="19" t="s">
        <v>834</v>
      </c>
      <c r="F27" s="19" t="s">
        <v>858</v>
      </c>
      <c r="G27" s="19" t="s">
        <v>882</v>
      </c>
      <c r="H27" s="19" t="s">
        <v>914</v>
      </c>
      <c r="I27" s="19" t="s">
        <v>989</v>
      </c>
      <c r="J27" s="19" t="s">
        <v>1004</v>
      </c>
      <c r="K27" s="24">
        <v>45911</v>
      </c>
      <c r="L27" s="19"/>
      <c r="M27" s="19"/>
      <c r="N27" s="21">
        <v>0</v>
      </c>
      <c r="O27" s="23">
        <v>120</v>
      </c>
      <c r="P27" s="19" t="s">
        <v>1015</v>
      </c>
      <c r="Q27" s="20">
        <v>0</v>
      </c>
      <c r="R27" s="19" t="s">
        <v>1022</v>
      </c>
      <c r="S27" s="19"/>
    </row>
    <row r="28" spans="1:19">
      <c r="A28" s="19" t="s">
        <v>27</v>
      </c>
      <c r="B28" s="19" t="s">
        <v>824</v>
      </c>
      <c r="C28" s="19" t="s">
        <v>829</v>
      </c>
      <c r="D28" s="20">
        <v>0</v>
      </c>
      <c r="E28" s="19" t="s">
        <v>852</v>
      </c>
      <c r="F28" s="19" t="s">
        <v>876</v>
      </c>
      <c r="G28" s="19" t="s">
        <v>900</v>
      </c>
      <c r="H28" s="19" t="s">
        <v>910</v>
      </c>
      <c r="I28" s="19" t="s">
        <v>989</v>
      </c>
      <c r="J28" s="19" t="s">
        <v>1004</v>
      </c>
      <c r="K28" s="24">
        <v>45912</v>
      </c>
      <c r="L28" s="19"/>
      <c r="M28" s="19"/>
      <c r="N28" s="21">
        <v>0</v>
      </c>
      <c r="O28" s="23">
        <v>280</v>
      </c>
      <c r="P28" s="19" t="s">
        <v>1015</v>
      </c>
      <c r="Q28" s="20">
        <v>0</v>
      </c>
      <c r="R28" s="19" t="s">
        <v>1022</v>
      </c>
      <c r="S28" s="19"/>
    </row>
    <row r="29" spans="1:19">
      <c r="A29" s="19" t="s">
        <v>28</v>
      </c>
      <c r="B29" s="19" t="s">
        <v>823</v>
      </c>
      <c r="C29" s="19" t="s">
        <v>828</v>
      </c>
      <c r="D29" s="20">
        <v>0</v>
      </c>
      <c r="E29" s="19" t="s">
        <v>845</v>
      </c>
      <c r="F29" s="19" t="s">
        <v>869</v>
      </c>
      <c r="G29" s="19" t="s">
        <v>893</v>
      </c>
      <c r="H29" s="19" t="s">
        <v>906</v>
      </c>
      <c r="I29" s="19" t="s">
        <v>989</v>
      </c>
      <c r="J29" s="19" t="s">
        <v>1004</v>
      </c>
      <c r="K29" s="24">
        <v>45913</v>
      </c>
      <c r="L29" s="19"/>
      <c r="M29" s="19"/>
      <c r="N29" s="21">
        <v>0</v>
      </c>
      <c r="O29" s="23">
        <v>1024.33</v>
      </c>
      <c r="P29" s="19" t="s">
        <v>1015</v>
      </c>
      <c r="Q29" s="20">
        <v>0</v>
      </c>
      <c r="R29" s="19" t="s">
        <v>1021</v>
      </c>
      <c r="S29" s="19"/>
    </row>
    <row r="30" spans="1:19">
      <c r="A30" s="19" t="s">
        <v>29</v>
      </c>
      <c r="B30" s="19" t="s">
        <v>823</v>
      </c>
      <c r="C30" s="19" t="s">
        <v>828</v>
      </c>
      <c r="D30" s="20">
        <v>0</v>
      </c>
      <c r="E30" s="19" t="s">
        <v>853</v>
      </c>
      <c r="F30" s="19" t="s">
        <v>877</v>
      </c>
      <c r="G30" s="19" t="s">
        <v>901</v>
      </c>
      <c r="H30" s="19" t="s">
        <v>911</v>
      </c>
      <c r="I30" s="19" t="s">
        <v>989</v>
      </c>
      <c r="J30" s="19" t="s">
        <v>1004</v>
      </c>
      <c r="K30" s="24">
        <v>45913</v>
      </c>
      <c r="L30" s="19"/>
      <c r="M30" s="19"/>
      <c r="N30" s="21">
        <v>0</v>
      </c>
      <c r="O30" s="23">
        <v>397.57</v>
      </c>
      <c r="P30" s="19" t="s">
        <v>1015</v>
      </c>
      <c r="Q30" s="20">
        <v>0</v>
      </c>
      <c r="R30" s="19" t="s">
        <v>1021</v>
      </c>
      <c r="S30" s="19"/>
    </row>
    <row r="31" spans="1:19">
      <c r="A31" s="19" t="s">
        <v>30</v>
      </c>
      <c r="B31" s="19" t="s">
        <v>824</v>
      </c>
      <c r="C31" s="19" t="s">
        <v>829</v>
      </c>
      <c r="D31" s="20">
        <v>0</v>
      </c>
      <c r="E31" s="19" t="s">
        <v>850</v>
      </c>
      <c r="F31" s="19" t="s">
        <v>874</v>
      </c>
      <c r="G31" s="19" t="s">
        <v>898</v>
      </c>
      <c r="H31" s="19" t="s">
        <v>914</v>
      </c>
      <c r="I31" s="19" t="s">
        <v>989</v>
      </c>
      <c r="J31" s="19" t="s">
        <v>1004</v>
      </c>
      <c r="K31" s="24">
        <v>45914</v>
      </c>
      <c r="L31" s="19"/>
      <c r="M31" s="19"/>
      <c r="N31" s="21">
        <v>0</v>
      </c>
      <c r="O31" s="23">
        <v>100</v>
      </c>
      <c r="P31" s="19" t="s">
        <v>1014</v>
      </c>
      <c r="Q31" s="20">
        <v>0</v>
      </c>
      <c r="R31" s="19" t="s">
        <v>1021</v>
      </c>
      <c r="S31" s="19"/>
    </row>
    <row r="32" spans="1:19">
      <c r="A32" s="19" t="s">
        <v>31</v>
      </c>
      <c r="B32" s="19" t="s">
        <v>823</v>
      </c>
      <c r="C32" s="19" t="s">
        <v>828</v>
      </c>
      <c r="D32" s="20">
        <v>0</v>
      </c>
      <c r="E32" s="19" t="s">
        <v>836</v>
      </c>
      <c r="F32" s="19" t="s">
        <v>860</v>
      </c>
      <c r="G32" s="19" t="s">
        <v>884</v>
      </c>
      <c r="H32" s="19" t="s">
        <v>912</v>
      </c>
      <c r="I32" s="19" t="s">
        <v>989</v>
      </c>
      <c r="J32" s="19" t="s">
        <v>1004</v>
      </c>
      <c r="K32" s="24">
        <v>45916</v>
      </c>
      <c r="L32" s="19"/>
      <c r="M32" s="19"/>
      <c r="N32" s="21">
        <v>0</v>
      </c>
      <c r="O32" s="23">
        <v>377.03</v>
      </c>
      <c r="P32" s="19" t="s">
        <v>1015</v>
      </c>
      <c r="Q32" s="20">
        <v>0</v>
      </c>
      <c r="R32" s="19" t="s">
        <v>1021</v>
      </c>
      <c r="S32" s="19"/>
    </row>
    <row r="33" spans="1:19">
      <c r="A33" s="19" t="s">
        <v>32</v>
      </c>
      <c r="B33" s="19" t="s">
        <v>825</v>
      </c>
      <c r="C33" s="19" t="s">
        <v>830</v>
      </c>
      <c r="D33" s="20">
        <v>1</v>
      </c>
      <c r="E33" s="19" t="s">
        <v>845</v>
      </c>
      <c r="F33" s="19" t="s">
        <v>869</v>
      </c>
      <c r="G33" s="19" t="s">
        <v>893</v>
      </c>
      <c r="H33" s="19" t="s">
        <v>915</v>
      </c>
      <c r="I33" s="19" t="s">
        <v>991</v>
      </c>
      <c r="J33" s="19" t="s">
        <v>1006</v>
      </c>
      <c r="K33" s="24">
        <v>45916</v>
      </c>
      <c r="L33" s="26">
        <v>45916.37152777778</v>
      </c>
      <c r="M33" s="26">
        <v>45916.52152777778</v>
      </c>
      <c r="N33" s="21">
        <v>0</v>
      </c>
      <c r="O33" s="23">
        <v>6530.54</v>
      </c>
      <c r="P33" s="19" t="s">
        <v>1015</v>
      </c>
      <c r="Q33" s="20">
        <v>0</v>
      </c>
      <c r="R33" s="19" t="s">
        <v>1021</v>
      </c>
      <c r="S33" s="19"/>
    </row>
    <row r="34" spans="1:19">
      <c r="A34" s="19" t="s">
        <v>33</v>
      </c>
      <c r="B34" s="19" t="s">
        <v>824</v>
      </c>
      <c r="C34" s="19" t="s">
        <v>829</v>
      </c>
      <c r="D34" s="20">
        <v>0</v>
      </c>
      <c r="E34" s="19" t="s">
        <v>854</v>
      </c>
      <c r="F34" s="19" t="s">
        <v>878</v>
      </c>
      <c r="G34" s="19" t="s">
        <v>902</v>
      </c>
      <c r="H34" s="19" t="s">
        <v>908</v>
      </c>
      <c r="I34" s="19" t="s">
        <v>989</v>
      </c>
      <c r="J34" s="19" t="s">
        <v>1004</v>
      </c>
      <c r="K34" s="24">
        <v>45916</v>
      </c>
      <c r="L34" s="19"/>
      <c r="M34" s="19"/>
      <c r="N34" s="21">
        <v>0</v>
      </c>
      <c r="O34" s="23">
        <v>120</v>
      </c>
      <c r="P34" s="19" t="s">
        <v>1014</v>
      </c>
      <c r="Q34" s="20">
        <v>0</v>
      </c>
      <c r="R34" s="19" t="s">
        <v>1021</v>
      </c>
      <c r="S34" s="19"/>
    </row>
    <row r="35" spans="1:19">
      <c r="A35" s="19" t="s">
        <v>34</v>
      </c>
      <c r="B35" s="19" t="s">
        <v>825</v>
      </c>
      <c r="C35" s="19" t="s">
        <v>830</v>
      </c>
      <c r="D35" s="20">
        <v>1</v>
      </c>
      <c r="E35" s="19" t="s">
        <v>852</v>
      </c>
      <c r="F35" s="19" t="s">
        <v>876</v>
      </c>
      <c r="G35" s="19" t="s">
        <v>900</v>
      </c>
      <c r="H35" s="19" t="s">
        <v>916</v>
      </c>
      <c r="I35" s="19" t="s">
        <v>992</v>
      </c>
      <c r="J35" s="19" t="s">
        <v>1006</v>
      </c>
      <c r="K35" s="24">
        <v>45916</v>
      </c>
      <c r="L35" s="26">
        <v>45916.97708333333</v>
      </c>
      <c r="M35" s="26">
        <v>45917.04375</v>
      </c>
      <c r="N35" s="21">
        <v>1.6</v>
      </c>
      <c r="O35" s="23">
        <v>25661.23</v>
      </c>
      <c r="P35" s="19" t="s">
        <v>1015</v>
      </c>
      <c r="Q35" s="20">
        <v>0</v>
      </c>
      <c r="R35" s="19" t="s">
        <v>1021</v>
      </c>
      <c r="S35" s="19"/>
    </row>
    <row r="36" spans="1:19">
      <c r="A36" s="19" t="s">
        <v>35</v>
      </c>
      <c r="B36" s="19" t="s">
        <v>823</v>
      </c>
      <c r="C36" s="19" t="s">
        <v>828</v>
      </c>
      <c r="D36" s="20">
        <v>0</v>
      </c>
      <c r="E36" s="19" t="s">
        <v>855</v>
      </c>
      <c r="F36" s="19" t="s">
        <v>879</v>
      </c>
      <c r="G36" s="19" t="s">
        <v>903</v>
      </c>
      <c r="H36" s="19" t="s">
        <v>912</v>
      </c>
      <c r="I36" s="19" t="s">
        <v>989</v>
      </c>
      <c r="J36" s="19" t="s">
        <v>1004</v>
      </c>
      <c r="K36" s="24">
        <v>45917</v>
      </c>
      <c r="L36" s="19"/>
      <c r="M36" s="19"/>
      <c r="N36" s="21">
        <v>0</v>
      </c>
      <c r="O36" s="23">
        <v>321.72</v>
      </c>
      <c r="P36" s="19" t="s">
        <v>1014</v>
      </c>
      <c r="Q36" s="20">
        <v>0</v>
      </c>
      <c r="R36" s="19" t="s">
        <v>1022</v>
      </c>
      <c r="S36" s="19"/>
    </row>
    <row r="37" spans="1:19">
      <c r="A37" s="19" t="s">
        <v>36</v>
      </c>
      <c r="B37" s="19" t="s">
        <v>823</v>
      </c>
      <c r="C37" s="19" t="s">
        <v>828</v>
      </c>
      <c r="D37" s="20">
        <v>0</v>
      </c>
      <c r="E37" s="19" t="s">
        <v>854</v>
      </c>
      <c r="F37" s="19" t="s">
        <v>878</v>
      </c>
      <c r="G37" s="19" t="s">
        <v>902</v>
      </c>
      <c r="H37" s="19" t="s">
        <v>912</v>
      </c>
      <c r="I37" s="19" t="s">
        <v>989</v>
      </c>
      <c r="J37" s="19" t="s">
        <v>1004</v>
      </c>
      <c r="K37" s="24">
        <v>45917</v>
      </c>
      <c r="L37" s="19"/>
      <c r="M37" s="19"/>
      <c r="N37" s="21">
        <v>0</v>
      </c>
      <c r="O37" s="23">
        <v>259.85</v>
      </c>
      <c r="P37" s="19" t="s">
        <v>1015</v>
      </c>
      <c r="Q37" s="20">
        <v>0</v>
      </c>
      <c r="R37" s="19" t="s">
        <v>1021</v>
      </c>
      <c r="S37" s="19"/>
    </row>
    <row r="38" spans="1:19">
      <c r="A38" s="19" t="s">
        <v>37</v>
      </c>
      <c r="B38" s="19" t="s">
        <v>824</v>
      </c>
      <c r="C38" s="19" t="s">
        <v>829</v>
      </c>
      <c r="D38" s="20">
        <v>0</v>
      </c>
      <c r="E38" s="19" t="s">
        <v>849</v>
      </c>
      <c r="F38" s="19" t="s">
        <v>873</v>
      </c>
      <c r="G38" s="19" t="s">
        <v>897</v>
      </c>
      <c r="H38" s="19" t="s">
        <v>910</v>
      </c>
      <c r="I38" s="19" t="s">
        <v>989</v>
      </c>
      <c r="J38" s="19" t="s">
        <v>1004</v>
      </c>
      <c r="K38" s="24">
        <v>45917</v>
      </c>
      <c r="L38" s="19"/>
      <c r="M38" s="19"/>
      <c r="N38" s="21">
        <v>0</v>
      </c>
      <c r="O38" s="23">
        <v>320</v>
      </c>
      <c r="P38" s="19" t="s">
        <v>1014</v>
      </c>
      <c r="Q38" s="20">
        <v>0</v>
      </c>
      <c r="R38" s="19" t="s">
        <v>1023</v>
      </c>
      <c r="S38" s="19"/>
    </row>
    <row r="39" spans="1:19">
      <c r="A39" s="19" t="s">
        <v>38</v>
      </c>
      <c r="B39" s="19" t="s">
        <v>823</v>
      </c>
      <c r="C39" s="19" t="s">
        <v>828</v>
      </c>
      <c r="D39" s="20">
        <v>0</v>
      </c>
      <c r="E39" s="19" t="s">
        <v>834</v>
      </c>
      <c r="F39" s="19" t="s">
        <v>858</v>
      </c>
      <c r="G39" s="19" t="s">
        <v>882</v>
      </c>
      <c r="H39" s="19" t="s">
        <v>907</v>
      </c>
      <c r="I39" s="19" t="s">
        <v>989</v>
      </c>
      <c r="J39" s="19" t="s">
        <v>1004</v>
      </c>
      <c r="K39" s="24">
        <v>45918</v>
      </c>
      <c r="L39" s="19"/>
      <c r="M39" s="19"/>
      <c r="N39" s="21">
        <v>0</v>
      </c>
      <c r="O39" s="23">
        <v>601.16</v>
      </c>
      <c r="P39" s="19" t="s">
        <v>1015</v>
      </c>
      <c r="Q39" s="20">
        <v>0</v>
      </c>
      <c r="R39" s="19" t="s">
        <v>1023</v>
      </c>
      <c r="S39" s="19"/>
    </row>
    <row r="40" spans="1:19">
      <c r="A40" s="19" t="s">
        <v>39</v>
      </c>
      <c r="B40" s="19" t="s">
        <v>823</v>
      </c>
      <c r="C40" s="19" t="s">
        <v>828</v>
      </c>
      <c r="D40" s="20">
        <v>0</v>
      </c>
      <c r="E40" s="19" t="s">
        <v>841</v>
      </c>
      <c r="F40" s="19" t="s">
        <v>865</v>
      </c>
      <c r="G40" s="19" t="s">
        <v>889</v>
      </c>
      <c r="H40" s="19" t="s">
        <v>917</v>
      </c>
      <c r="I40" s="19" t="s">
        <v>989</v>
      </c>
      <c r="J40" s="19" t="s">
        <v>1004</v>
      </c>
      <c r="K40" s="24">
        <v>45919</v>
      </c>
      <c r="L40" s="19"/>
      <c r="M40" s="19"/>
      <c r="N40" s="21">
        <v>0</v>
      </c>
      <c r="O40" s="23">
        <v>1083.56</v>
      </c>
      <c r="P40" s="19" t="s">
        <v>1016</v>
      </c>
      <c r="Q40" s="20">
        <v>1</v>
      </c>
      <c r="R40" s="19" t="s">
        <v>1021</v>
      </c>
      <c r="S40" s="19"/>
    </row>
    <row r="41" spans="1:19">
      <c r="A41" s="19" t="s">
        <v>40</v>
      </c>
      <c r="B41" s="19" t="s">
        <v>823</v>
      </c>
      <c r="C41" s="19" t="s">
        <v>828</v>
      </c>
      <c r="D41" s="20">
        <v>0</v>
      </c>
      <c r="E41" s="19" t="s">
        <v>842</v>
      </c>
      <c r="F41" s="19" t="s">
        <v>866</v>
      </c>
      <c r="G41" s="19" t="s">
        <v>890</v>
      </c>
      <c r="H41" s="19" t="s">
        <v>917</v>
      </c>
      <c r="I41" s="19" t="s">
        <v>989</v>
      </c>
      <c r="J41" s="19" t="s">
        <v>1004</v>
      </c>
      <c r="K41" s="24">
        <v>45919</v>
      </c>
      <c r="L41" s="19"/>
      <c r="M41" s="19"/>
      <c r="N41" s="21">
        <v>0</v>
      </c>
      <c r="O41" s="23">
        <v>1102.68</v>
      </c>
      <c r="P41" s="19" t="s">
        <v>1015</v>
      </c>
      <c r="Q41" s="20">
        <v>0</v>
      </c>
      <c r="R41" s="19" t="s">
        <v>1022</v>
      </c>
      <c r="S41" s="19"/>
    </row>
    <row r="42" spans="1:19">
      <c r="A42" s="19" t="s">
        <v>41</v>
      </c>
      <c r="B42" s="19" t="s">
        <v>823</v>
      </c>
      <c r="C42" s="19" t="s">
        <v>828</v>
      </c>
      <c r="D42" s="20">
        <v>0</v>
      </c>
      <c r="E42" s="19" t="s">
        <v>852</v>
      </c>
      <c r="F42" s="19" t="s">
        <v>876</v>
      </c>
      <c r="G42" s="19" t="s">
        <v>900</v>
      </c>
      <c r="H42" s="19" t="s">
        <v>911</v>
      </c>
      <c r="I42" s="19" t="s">
        <v>989</v>
      </c>
      <c r="J42" s="19" t="s">
        <v>1004</v>
      </c>
      <c r="K42" s="24">
        <v>45919</v>
      </c>
      <c r="L42" s="19"/>
      <c r="M42" s="19"/>
      <c r="N42" s="21">
        <v>0</v>
      </c>
      <c r="O42" s="23">
        <v>1070.84</v>
      </c>
      <c r="P42" s="19" t="s">
        <v>1014</v>
      </c>
      <c r="Q42" s="20">
        <v>0</v>
      </c>
      <c r="R42" s="19" t="s">
        <v>1021</v>
      </c>
      <c r="S42" s="19"/>
    </row>
    <row r="43" spans="1:19">
      <c r="A43" s="19" t="s">
        <v>42</v>
      </c>
      <c r="B43" s="19" t="s">
        <v>825</v>
      </c>
      <c r="C43" s="19" t="s">
        <v>830</v>
      </c>
      <c r="D43" s="20">
        <v>1</v>
      </c>
      <c r="E43" s="19" t="s">
        <v>837</v>
      </c>
      <c r="F43" s="19" t="s">
        <v>861</v>
      </c>
      <c r="G43" s="19" t="s">
        <v>885</v>
      </c>
      <c r="H43" s="19" t="s">
        <v>918</v>
      </c>
      <c r="I43" s="19" t="s">
        <v>992</v>
      </c>
      <c r="J43" s="19" t="s">
        <v>1006</v>
      </c>
      <c r="K43" s="24">
        <v>45919</v>
      </c>
      <c r="L43" s="26">
        <v>45919.69375</v>
      </c>
      <c r="M43" s="26">
        <v>45920.06458333333</v>
      </c>
      <c r="N43" s="21">
        <v>8.9</v>
      </c>
      <c r="O43" s="23">
        <v>3944.34</v>
      </c>
      <c r="P43" s="19" t="s">
        <v>1015</v>
      </c>
      <c r="Q43" s="20">
        <v>0</v>
      </c>
      <c r="R43" s="19" t="s">
        <v>1022</v>
      </c>
      <c r="S43" s="19"/>
    </row>
    <row r="44" spans="1:19">
      <c r="A44" s="19" t="s">
        <v>43</v>
      </c>
      <c r="B44" s="19" t="s">
        <v>825</v>
      </c>
      <c r="C44" s="19" t="s">
        <v>830</v>
      </c>
      <c r="D44" s="20">
        <v>1</v>
      </c>
      <c r="E44" s="19" t="s">
        <v>845</v>
      </c>
      <c r="F44" s="19" t="s">
        <v>869</v>
      </c>
      <c r="G44" s="19" t="s">
        <v>893</v>
      </c>
      <c r="H44" s="19" t="s">
        <v>919</v>
      </c>
      <c r="I44" s="19" t="s">
        <v>993</v>
      </c>
      <c r="J44" s="19" t="s">
        <v>1005</v>
      </c>
      <c r="K44" s="24">
        <v>45920</v>
      </c>
      <c r="L44" s="26">
        <v>45920.07430555556</v>
      </c>
      <c r="M44" s="26">
        <v>45920.71597222222</v>
      </c>
      <c r="N44" s="21">
        <v>15.4</v>
      </c>
      <c r="O44" s="23">
        <v>6049.06</v>
      </c>
      <c r="P44" s="19" t="s">
        <v>1015</v>
      </c>
      <c r="Q44" s="20">
        <v>0</v>
      </c>
      <c r="R44" s="19" t="s">
        <v>1021</v>
      </c>
      <c r="S44" s="19" t="s">
        <v>1027</v>
      </c>
    </row>
    <row r="45" spans="1:19">
      <c r="A45" s="19" t="s">
        <v>44</v>
      </c>
      <c r="B45" s="19" t="s">
        <v>823</v>
      </c>
      <c r="C45" s="19" t="s">
        <v>828</v>
      </c>
      <c r="D45" s="20">
        <v>0</v>
      </c>
      <c r="E45" s="19" t="s">
        <v>856</v>
      </c>
      <c r="F45" s="19" t="s">
        <v>880</v>
      </c>
      <c r="G45" s="19" t="s">
        <v>904</v>
      </c>
      <c r="H45" s="19" t="s">
        <v>906</v>
      </c>
      <c r="I45" s="19" t="s">
        <v>989</v>
      </c>
      <c r="J45" s="19" t="s">
        <v>1004</v>
      </c>
      <c r="K45" s="24">
        <v>45920</v>
      </c>
      <c r="L45" s="19"/>
      <c r="M45" s="19"/>
      <c r="N45" s="21">
        <v>0</v>
      </c>
      <c r="O45" s="23">
        <v>152.66</v>
      </c>
      <c r="P45" s="19" t="s">
        <v>1015</v>
      </c>
      <c r="Q45" s="20">
        <v>0</v>
      </c>
      <c r="R45" s="19" t="s">
        <v>1021</v>
      </c>
      <c r="S45" s="19"/>
    </row>
    <row r="46" spans="1:19">
      <c r="A46" s="19" t="s">
        <v>45</v>
      </c>
      <c r="B46" s="19" t="s">
        <v>823</v>
      </c>
      <c r="C46" s="19" t="s">
        <v>828</v>
      </c>
      <c r="D46" s="20">
        <v>0</v>
      </c>
      <c r="E46" s="19" t="s">
        <v>847</v>
      </c>
      <c r="F46" s="19" t="s">
        <v>871</v>
      </c>
      <c r="G46" s="19" t="s">
        <v>895</v>
      </c>
      <c r="H46" s="19" t="s">
        <v>909</v>
      </c>
      <c r="I46" s="19" t="s">
        <v>989</v>
      </c>
      <c r="J46" s="19" t="s">
        <v>1004</v>
      </c>
      <c r="K46" s="24">
        <v>45920</v>
      </c>
      <c r="L46" s="19"/>
      <c r="M46" s="19"/>
      <c r="N46" s="21">
        <v>0</v>
      </c>
      <c r="O46" s="23">
        <v>397.94</v>
      </c>
      <c r="P46" s="19" t="s">
        <v>1015</v>
      </c>
      <c r="Q46" s="20">
        <v>0</v>
      </c>
      <c r="R46" s="19" t="s">
        <v>1022</v>
      </c>
      <c r="S46" s="19"/>
    </row>
    <row r="47" spans="1:19">
      <c r="A47" s="19" t="s">
        <v>46</v>
      </c>
      <c r="B47" s="19" t="s">
        <v>823</v>
      </c>
      <c r="C47" s="19" t="s">
        <v>828</v>
      </c>
      <c r="D47" s="20">
        <v>0</v>
      </c>
      <c r="E47" s="19" t="s">
        <v>839</v>
      </c>
      <c r="F47" s="19" t="s">
        <v>863</v>
      </c>
      <c r="G47" s="19" t="s">
        <v>887</v>
      </c>
      <c r="H47" s="19" t="s">
        <v>917</v>
      </c>
      <c r="I47" s="19" t="s">
        <v>989</v>
      </c>
      <c r="J47" s="19" t="s">
        <v>1004</v>
      </c>
      <c r="K47" s="24">
        <v>45922</v>
      </c>
      <c r="L47" s="19"/>
      <c r="M47" s="19"/>
      <c r="N47" s="21">
        <v>0</v>
      </c>
      <c r="O47" s="23">
        <v>470.52</v>
      </c>
      <c r="P47" s="19" t="s">
        <v>1015</v>
      </c>
      <c r="Q47" s="20">
        <v>0</v>
      </c>
      <c r="R47" s="19" t="s">
        <v>1021</v>
      </c>
      <c r="S47" s="19"/>
    </row>
    <row r="48" spans="1:19">
      <c r="A48" s="19" t="s">
        <v>47</v>
      </c>
      <c r="B48" s="19" t="s">
        <v>825</v>
      </c>
      <c r="C48" s="19" t="s">
        <v>830</v>
      </c>
      <c r="D48" s="20">
        <v>1</v>
      </c>
      <c r="E48" s="19" t="s">
        <v>855</v>
      </c>
      <c r="F48" s="19" t="s">
        <v>879</v>
      </c>
      <c r="G48" s="19" t="s">
        <v>903</v>
      </c>
      <c r="H48" s="19" t="s">
        <v>920</v>
      </c>
      <c r="I48" s="19" t="s">
        <v>994</v>
      </c>
      <c r="J48" s="19" t="s">
        <v>1006</v>
      </c>
      <c r="K48" s="24">
        <v>45922</v>
      </c>
      <c r="L48" s="26">
        <v>45922.80694444444</v>
      </c>
      <c r="M48" s="26">
        <v>45922.85694444444</v>
      </c>
      <c r="N48" s="21">
        <v>1.2</v>
      </c>
      <c r="O48" s="23">
        <v>2180.73</v>
      </c>
      <c r="P48" s="19" t="s">
        <v>1015</v>
      </c>
      <c r="Q48" s="20">
        <v>0</v>
      </c>
      <c r="R48" s="19" t="s">
        <v>1021</v>
      </c>
      <c r="S48" s="19"/>
    </row>
    <row r="49" spans="1:19">
      <c r="A49" s="19" t="s">
        <v>48</v>
      </c>
      <c r="B49" s="19" t="s">
        <v>826</v>
      </c>
      <c r="C49" s="19" t="s">
        <v>831</v>
      </c>
      <c r="D49" s="20">
        <v>1</v>
      </c>
      <c r="E49" s="19" t="s">
        <v>845</v>
      </c>
      <c r="F49" s="19" t="s">
        <v>869</v>
      </c>
      <c r="G49" s="19" t="s">
        <v>893</v>
      </c>
      <c r="H49" s="19" t="s">
        <v>921</v>
      </c>
      <c r="I49" s="19" t="s">
        <v>995</v>
      </c>
      <c r="J49" s="19" t="s">
        <v>1007</v>
      </c>
      <c r="K49" s="24">
        <v>45923</v>
      </c>
      <c r="L49" s="26">
        <v>45923.12361111111</v>
      </c>
      <c r="M49" s="26">
        <v>45923.41111111111</v>
      </c>
      <c r="N49" s="21">
        <v>6.9</v>
      </c>
      <c r="O49" s="23">
        <v>8892.01</v>
      </c>
      <c r="P49" s="19" t="s">
        <v>1015</v>
      </c>
      <c r="Q49" s="20">
        <v>0</v>
      </c>
      <c r="R49" s="19" t="s">
        <v>1022</v>
      </c>
      <c r="S49" s="19"/>
    </row>
    <row r="50" spans="1:19">
      <c r="A50" s="19" t="s">
        <v>49</v>
      </c>
      <c r="B50" s="19" t="s">
        <v>824</v>
      </c>
      <c r="C50" s="19" t="s">
        <v>829</v>
      </c>
      <c r="D50" s="20">
        <v>0</v>
      </c>
      <c r="E50" s="19" t="s">
        <v>848</v>
      </c>
      <c r="F50" s="19" t="s">
        <v>872</v>
      </c>
      <c r="G50" s="19" t="s">
        <v>896</v>
      </c>
      <c r="H50" s="19" t="s">
        <v>910</v>
      </c>
      <c r="I50" s="19" t="s">
        <v>989</v>
      </c>
      <c r="J50" s="19" t="s">
        <v>1004</v>
      </c>
      <c r="K50" s="24">
        <v>45923</v>
      </c>
      <c r="L50" s="19"/>
      <c r="M50" s="19"/>
      <c r="N50" s="21">
        <v>0</v>
      </c>
      <c r="O50" s="23">
        <v>600</v>
      </c>
      <c r="P50" s="19" t="s">
        <v>1015</v>
      </c>
      <c r="Q50" s="20">
        <v>0</v>
      </c>
      <c r="R50" s="19" t="s">
        <v>1023</v>
      </c>
      <c r="S50" s="19"/>
    </row>
    <row r="51" spans="1:19">
      <c r="A51" s="19" t="s">
        <v>50</v>
      </c>
      <c r="B51" s="19" t="s">
        <v>824</v>
      </c>
      <c r="C51" s="19" t="s">
        <v>829</v>
      </c>
      <c r="D51" s="20">
        <v>0</v>
      </c>
      <c r="E51" s="19" t="s">
        <v>853</v>
      </c>
      <c r="F51" s="19" t="s">
        <v>877</v>
      </c>
      <c r="G51" s="19" t="s">
        <v>901</v>
      </c>
      <c r="H51" s="19" t="s">
        <v>914</v>
      </c>
      <c r="I51" s="19" t="s">
        <v>989</v>
      </c>
      <c r="J51" s="19" t="s">
        <v>1004</v>
      </c>
      <c r="K51" s="24">
        <v>45923</v>
      </c>
      <c r="L51" s="19"/>
      <c r="M51" s="19"/>
      <c r="N51" s="21">
        <v>0</v>
      </c>
      <c r="O51" s="23">
        <v>140</v>
      </c>
      <c r="P51" s="19" t="s">
        <v>1015</v>
      </c>
      <c r="Q51" s="20">
        <v>0</v>
      </c>
      <c r="R51" s="19" t="s">
        <v>1022</v>
      </c>
      <c r="S51" s="19"/>
    </row>
    <row r="52" spans="1:19">
      <c r="A52" s="19" t="s">
        <v>51</v>
      </c>
      <c r="B52" s="19" t="s">
        <v>826</v>
      </c>
      <c r="C52" s="19" t="s">
        <v>831</v>
      </c>
      <c r="D52" s="20">
        <v>1</v>
      </c>
      <c r="E52" s="19" t="s">
        <v>844</v>
      </c>
      <c r="F52" s="19" t="s">
        <v>868</v>
      </c>
      <c r="G52" s="19" t="s">
        <v>892</v>
      </c>
      <c r="H52" s="19" t="s">
        <v>922</v>
      </c>
      <c r="I52" s="19" t="s">
        <v>996</v>
      </c>
      <c r="J52" s="19" t="s">
        <v>1005</v>
      </c>
      <c r="K52" s="24">
        <v>45924</v>
      </c>
      <c r="L52" s="26">
        <v>45924.28402777778</v>
      </c>
      <c r="M52" s="26">
        <v>45924.43819444445</v>
      </c>
      <c r="N52" s="21">
        <v>3.7</v>
      </c>
      <c r="O52" s="23">
        <v>6692.92</v>
      </c>
      <c r="P52" s="19" t="s">
        <v>1014</v>
      </c>
      <c r="Q52" s="20">
        <v>0</v>
      </c>
      <c r="R52" s="19" t="s">
        <v>1024</v>
      </c>
      <c r="S52" s="19" t="s">
        <v>1028</v>
      </c>
    </row>
    <row r="53" spans="1:19">
      <c r="A53" s="19" t="s">
        <v>52</v>
      </c>
      <c r="B53" s="19" t="s">
        <v>823</v>
      </c>
      <c r="C53" s="19" t="s">
        <v>828</v>
      </c>
      <c r="D53" s="20">
        <v>0</v>
      </c>
      <c r="E53" s="19" t="s">
        <v>848</v>
      </c>
      <c r="F53" s="19" t="s">
        <v>872</v>
      </c>
      <c r="G53" s="19" t="s">
        <v>896</v>
      </c>
      <c r="H53" s="19" t="s">
        <v>917</v>
      </c>
      <c r="I53" s="19" t="s">
        <v>989</v>
      </c>
      <c r="J53" s="19" t="s">
        <v>1004</v>
      </c>
      <c r="K53" s="24">
        <v>45925</v>
      </c>
      <c r="L53" s="19"/>
      <c r="M53" s="19"/>
      <c r="N53" s="21">
        <v>0</v>
      </c>
      <c r="O53" s="23">
        <v>2696.89</v>
      </c>
      <c r="P53" s="19" t="s">
        <v>1014</v>
      </c>
      <c r="Q53" s="20">
        <v>0</v>
      </c>
      <c r="R53" s="19" t="s">
        <v>1023</v>
      </c>
      <c r="S53" s="19"/>
    </row>
    <row r="54" spans="1:19">
      <c r="A54" s="19" t="s">
        <v>53</v>
      </c>
      <c r="B54" s="19" t="s">
        <v>824</v>
      </c>
      <c r="C54" s="19" t="s">
        <v>829</v>
      </c>
      <c r="D54" s="20">
        <v>0</v>
      </c>
      <c r="E54" s="19" t="s">
        <v>856</v>
      </c>
      <c r="F54" s="19" t="s">
        <v>880</v>
      </c>
      <c r="G54" s="19" t="s">
        <v>904</v>
      </c>
      <c r="H54" s="19" t="s">
        <v>908</v>
      </c>
      <c r="I54" s="19" t="s">
        <v>989</v>
      </c>
      <c r="J54" s="19" t="s">
        <v>1004</v>
      </c>
      <c r="K54" s="24">
        <v>45925</v>
      </c>
      <c r="L54" s="19"/>
      <c r="M54" s="19"/>
      <c r="N54" s="21">
        <v>0</v>
      </c>
      <c r="O54" s="23">
        <v>48</v>
      </c>
      <c r="P54" s="19" t="s">
        <v>1014</v>
      </c>
      <c r="Q54" s="20">
        <v>0</v>
      </c>
      <c r="R54" s="19" t="s">
        <v>1022</v>
      </c>
      <c r="S54" s="19"/>
    </row>
    <row r="55" spans="1:19">
      <c r="A55" s="19" t="s">
        <v>54</v>
      </c>
      <c r="B55" s="19" t="s">
        <v>825</v>
      </c>
      <c r="C55" s="19" t="s">
        <v>830</v>
      </c>
      <c r="D55" s="20">
        <v>1</v>
      </c>
      <c r="E55" s="19" t="s">
        <v>843</v>
      </c>
      <c r="F55" s="19" t="s">
        <v>867</v>
      </c>
      <c r="G55" s="19" t="s">
        <v>891</v>
      </c>
      <c r="H55" s="19" t="s">
        <v>923</v>
      </c>
      <c r="I55" s="19" t="s">
        <v>990</v>
      </c>
      <c r="J55" s="19" t="s">
        <v>1005</v>
      </c>
      <c r="K55" s="24">
        <v>45926</v>
      </c>
      <c r="L55" s="26">
        <v>45926.74166666667</v>
      </c>
      <c r="M55" s="26">
        <v>45926.8875</v>
      </c>
      <c r="N55" s="21">
        <v>3.5</v>
      </c>
      <c r="O55" s="23">
        <v>1389.25</v>
      </c>
      <c r="P55" s="19" t="s">
        <v>1014</v>
      </c>
      <c r="Q55" s="20">
        <v>0</v>
      </c>
      <c r="R55" s="19" t="s">
        <v>1023</v>
      </c>
      <c r="S55" s="19" t="s">
        <v>1026</v>
      </c>
    </row>
    <row r="56" spans="1:19">
      <c r="A56" s="19" t="s">
        <v>55</v>
      </c>
      <c r="B56" s="19" t="s">
        <v>823</v>
      </c>
      <c r="C56" s="19" t="s">
        <v>828</v>
      </c>
      <c r="D56" s="20">
        <v>0</v>
      </c>
      <c r="E56" s="19" t="s">
        <v>837</v>
      </c>
      <c r="F56" s="19" t="s">
        <v>861</v>
      </c>
      <c r="G56" s="19" t="s">
        <v>885</v>
      </c>
      <c r="H56" s="19" t="s">
        <v>912</v>
      </c>
      <c r="I56" s="19" t="s">
        <v>989</v>
      </c>
      <c r="J56" s="19" t="s">
        <v>1004</v>
      </c>
      <c r="K56" s="24">
        <v>45927</v>
      </c>
      <c r="L56" s="19"/>
      <c r="M56" s="19"/>
      <c r="N56" s="21">
        <v>0</v>
      </c>
      <c r="O56" s="23">
        <v>719.45</v>
      </c>
      <c r="P56" s="19" t="s">
        <v>1014</v>
      </c>
      <c r="Q56" s="20">
        <v>0</v>
      </c>
      <c r="R56" s="19" t="s">
        <v>1022</v>
      </c>
      <c r="S56" s="19"/>
    </row>
    <row r="57" spans="1:19">
      <c r="A57" s="19" t="s">
        <v>56</v>
      </c>
      <c r="B57" s="19" t="s">
        <v>823</v>
      </c>
      <c r="C57" s="19" t="s">
        <v>828</v>
      </c>
      <c r="D57" s="20">
        <v>0</v>
      </c>
      <c r="E57" s="19" t="s">
        <v>851</v>
      </c>
      <c r="F57" s="19" t="s">
        <v>875</v>
      </c>
      <c r="G57" s="19" t="s">
        <v>899</v>
      </c>
      <c r="H57" s="19" t="s">
        <v>907</v>
      </c>
      <c r="I57" s="19" t="s">
        <v>989</v>
      </c>
      <c r="J57" s="19" t="s">
        <v>1004</v>
      </c>
      <c r="K57" s="24">
        <v>45927</v>
      </c>
      <c r="L57" s="19"/>
      <c r="M57" s="19"/>
      <c r="N57" s="21">
        <v>0</v>
      </c>
      <c r="O57" s="23">
        <v>439.7</v>
      </c>
      <c r="P57" s="19" t="s">
        <v>1014</v>
      </c>
      <c r="Q57" s="20">
        <v>0</v>
      </c>
      <c r="R57" s="19" t="s">
        <v>1023</v>
      </c>
      <c r="S57" s="19"/>
    </row>
    <row r="58" spans="1:19">
      <c r="A58" s="19" t="s">
        <v>57</v>
      </c>
      <c r="B58" s="19" t="s">
        <v>823</v>
      </c>
      <c r="C58" s="19" t="s">
        <v>828</v>
      </c>
      <c r="D58" s="20">
        <v>0</v>
      </c>
      <c r="E58" s="19" t="s">
        <v>844</v>
      </c>
      <c r="F58" s="19" t="s">
        <v>868</v>
      </c>
      <c r="G58" s="19" t="s">
        <v>892</v>
      </c>
      <c r="H58" s="19" t="s">
        <v>906</v>
      </c>
      <c r="I58" s="19" t="s">
        <v>989</v>
      </c>
      <c r="J58" s="19" t="s">
        <v>1004</v>
      </c>
      <c r="K58" s="24">
        <v>45928</v>
      </c>
      <c r="L58" s="19"/>
      <c r="M58" s="19"/>
      <c r="N58" s="21">
        <v>0</v>
      </c>
      <c r="O58" s="23">
        <v>613</v>
      </c>
      <c r="P58" s="19" t="s">
        <v>1016</v>
      </c>
      <c r="Q58" s="20">
        <v>1</v>
      </c>
      <c r="R58" s="19" t="s">
        <v>1021</v>
      </c>
      <c r="S58" s="19"/>
    </row>
    <row r="59" spans="1:19">
      <c r="A59" s="19" t="s">
        <v>58</v>
      </c>
      <c r="B59" s="19" t="s">
        <v>823</v>
      </c>
      <c r="C59" s="19" t="s">
        <v>828</v>
      </c>
      <c r="D59" s="20">
        <v>0</v>
      </c>
      <c r="E59" s="19" t="s">
        <v>835</v>
      </c>
      <c r="F59" s="19" t="s">
        <v>859</v>
      </c>
      <c r="G59" s="19" t="s">
        <v>883</v>
      </c>
      <c r="H59" s="19" t="s">
        <v>912</v>
      </c>
      <c r="I59" s="19" t="s">
        <v>989</v>
      </c>
      <c r="J59" s="19" t="s">
        <v>1004</v>
      </c>
      <c r="K59" s="24">
        <v>45928</v>
      </c>
      <c r="L59" s="19"/>
      <c r="M59" s="19"/>
      <c r="N59" s="21">
        <v>0</v>
      </c>
      <c r="O59" s="23">
        <v>361.55</v>
      </c>
      <c r="P59" s="19" t="s">
        <v>1015</v>
      </c>
      <c r="Q59" s="20">
        <v>0</v>
      </c>
      <c r="R59" s="19" t="s">
        <v>1022</v>
      </c>
      <c r="S59" s="19"/>
    </row>
    <row r="60" spans="1:19">
      <c r="A60" s="19" t="s">
        <v>59</v>
      </c>
      <c r="B60" s="19" t="s">
        <v>823</v>
      </c>
      <c r="C60" s="19" t="s">
        <v>828</v>
      </c>
      <c r="D60" s="20">
        <v>0</v>
      </c>
      <c r="E60" s="19" t="s">
        <v>843</v>
      </c>
      <c r="F60" s="19" t="s">
        <v>867</v>
      </c>
      <c r="G60" s="19" t="s">
        <v>891</v>
      </c>
      <c r="H60" s="19" t="s">
        <v>917</v>
      </c>
      <c r="I60" s="19" t="s">
        <v>989</v>
      </c>
      <c r="J60" s="19" t="s">
        <v>1004</v>
      </c>
      <c r="K60" s="24">
        <v>45929</v>
      </c>
      <c r="L60" s="19"/>
      <c r="M60" s="19"/>
      <c r="N60" s="21">
        <v>0</v>
      </c>
      <c r="O60" s="23">
        <v>431.03</v>
      </c>
      <c r="P60" s="19" t="s">
        <v>1014</v>
      </c>
      <c r="Q60" s="20">
        <v>0</v>
      </c>
      <c r="R60" s="19" t="s">
        <v>1022</v>
      </c>
      <c r="S60" s="19"/>
    </row>
    <row r="61" spans="1:19">
      <c r="A61" s="19" t="s">
        <v>60</v>
      </c>
      <c r="B61" s="19" t="s">
        <v>824</v>
      </c>
      <c r="C61" s="19" t="s">
        <v>829</v>
      </c>
      <c r="D61" s="20">
        <v>0</v>
      </c>
      <c r="E61" s="19" t="s">
        <v>841</v>
      </c>
      <c r="F61" s="19" t="s">
        <v>865</v>
      </c>
      <c r="G61" s="19" t="s">
        <v>889</v>
      </c>
      <c r="H61" s="19" t="s">
        <v>908</v>
      </c>
      <c r="I61" s="19" t="s">
        <v>989</v>
      </c>
      <c r="J61" s="19" t="s">
        <v>1004</v>
      </c>
      <c r="K61" s="24">
        <v>45929</v>
      </c>
      <c r="L61" s="19"/>
      <c r="M61" s="19"/>
      <c r="N61" s="21">
        <v>0</v>
      </c>
      <c r="O61" s="23">
        <v>480</v>
      </c>
      <c r="P61" s="19" t="s">
        <v>1015</v>
      </c>
      <c r="Q61" s="20">
        <v>0</v>
      </c>
      <c r="R61" s="19" t="s">
        <v>1021</v>
      </c>
      <c r="S61" s="19"/>
    </row>
    <row r="62" spans="1:19">
      <c r="A62" s="19" t="s">
        <v>61</v>
      </c>
      <c r="B62" s="19" t="s">
        <v>823</v>
      </c>
      <c r="C62" s="19" t="s">
        <v>828</v>
      </c>
      <c r="D62" s="20">
        <v>0</v>
      </c>
      <c r="E62" s="19" t="s">
        <v>845</v>
      </c>
      <c r="F62" s="19" t="s">
        <v>869</v>
      </c>
      <c r="G62" s="19" t="s">
        <v>893</v>
      </c>
      <c r="H62" s="19" t="s">
        <v>917</v>
      </c>
      <c r="I62" s="19" t="s">
        <v>989</v>
      </c>
      <c r="J62" s="19" t="s">
        <v>1004</v>
      </c>
      <c r="K62" s="24">
        <v>45931</v>
      </c>
      <c r="L62" s="19"/>
      <c r="M62" s="19"/>
      <c r="N62" s="21">
        <v>0</v>
      </c>
      <c r="O62" s="23">
        <v>1333.36</v>
      </c>
      <c r="P62" s="19" t="s">
        <v>1015</v>
      </c>
      <c r="Q62" s="20">
        <v>0</v>
      </c>
      <c r="R62" s="19" t="s">
        <v>1023</v>
      </c>
      <c r="S62" s="19"/>
    </row>
    <row r="63" spans="1:19">
      <c r="A63" s="19" t="s">
        <v>62</v>
      </c>
      <c r="B63" s="19" t="s">
        <v>823</v>
      </c>
      <c r="C63" s="19" t="s">
        <v>828</v>
      </c>
      <c r="D63" s="20">
        <v>0</v>
      </c>
      <c r="E63" s="19" t="s">
        <v>838</v>
      </c>
      <c r="F63" s="19" t="s">
        <v>862</v>
      </c>
      <c r="G63" s="19" t="s">
        <v>886</v>
      </c>
      <c r="H63" s="19" t="s">
        <v>911</v>
      </c>
      <c r="I63" s="19" t="s">
        <v>989</v>
      </c>
      <c r="J63" s="19" t="s">
        <v>1004</v>
      </c>
      <c r="K63" s="24">
        <v>45931</v>
      </c>
      <c r="L63" s="19"/>
      <c r="M63" s="19"/>
      <c r="N63" s="21">
        <v>0</v>
      </c>
      <c r="O63" s="23">
        <v>266.97</v>
      </c>
      <c r="P63" s="19" t="s">
        <v>1014</v>
      </c>
      <c r="Q63" s="20">
        <v>0</v>
      </c>
      <c r="R63" s="19" t="s">
        <v>1021</v>
      </c>
      <c r="S63" s="19"/>
    </row>
    <row r="64" spans="1:19">
      <c r="A64" s="19" t="s">
        <v>63</v>
      </c>
      <c r="B64" s="19" t="s">
        <v>824</v>
      </c>
      <c r="C64" s="19" t="s">
        <v>829</v>
      </c>
      <c r="D64" s="20">
        <v>0</v>
      </c>
      <c r="E64" s="19" t="s">
        <v>836</v>
      </c>
      <c r="F64" s="19" t="s">
        <v>860</v>
      </c>
      <c r="G64" s="19" t="s">
        <v>884</v>
      </c>
      <c r="H64" s="19" t="s">
        <v>910</v>
      </c>
      <c r="I64" s="19" t="s">
        <v>989</v>
      </c>
      <c r="J64" s="19" t="s">
        <v>1004</v>
      </c>
      <c r="K64" s="24">
        <v>45931</v>
      </c>
      <c r="L64" s="19"/>
      <c r="M64" s="19"/>
      <c r="N64" s="21">
        <v>0</v>
      </c>
      <c r="O64" s="23">
        <v>120</v>
      </c>
      <c r="P64" s="19" t="s">
        <v>1015</v>
      </c>
      <c r="Q64" s="20">
        <v>0</v>
      </c>
      <c r="R64" s="19" t="s">
        <v>1022</v>
      </c>
      <c r="S64" s="19"/>
    </row>
    <row r="65" spans="1:19">
      <c r="A65" s="19" t="s">
        <v>64</v>
      </c>
      <c r="B65" s="19" t="s">
        <v>823</v>
      </c>
      <c r="C65" s="19" t="s">
        <v>828</v>
      </c>
      <c r="D65" s="20">
        <v>0</v>
      </c>
      <c r="E65" s="19" t="s">
        <v>850</v>
      </c>
      <c r="F65" s="19" t="s">
        <v>874</v>
      </c>
      <c r="G65" s="19" t="s">
        <v>898</v>
      </c>
      <c r="H65" s="19" t="s">
        <v>917</v>
      </c>
      <c r="I65" s="19" t="s">
        <v>989</v>
      </c>
      <c r="J65" s="19" t="s">
        <v>1004</v>
      </c>
      <c r="K65" s="24">
        <v>45932</v>
      </c>
      <c r="L65" s="19"/>
      <c r="M65" s="19"/>
      <c r="N65" s="21">
        <v>0</v>
      </c>
      <c r="O65" s="23">
        <v>429.9</v>
      </c>
      <c r="P65" s="19" t="s">
        <v>1014</v>
      </c>
      <c r="Q65" s="20">
        <v>0</v>
      </c>
      <c r="R65" s="19" t="s">
        <v>1022</v>
      </c>
      <c r="S65" s="19"/>
    </row>
    <row r="66" spans="1:19">
      <c r="A66" s="19" t="s">
        <v>65</v>
      </c>
      <c r="B66" s="19" t="s">
        <v>823</v>
      </c>
      <c r="C66" s="19" t="s">
        <v>828</v>
      </c>
      <c r="D66" s="20">
        <v>0</v>
      </c>
      <c r="E66" s="19" t="s">
        <v>846</v>
      </c>
      <c r="F66" s="19" t="s">
        <v>870</v>
      </c>
      <c r="G66" s="19" t="s">
        <v>894</v>
      </c>
      <c r="H66" s="19" t="s">
        <v>924</v>
      </c>
      <c r="I66" s="19" t="s">
        <v>989</v>
      </c>
      <c r="J66" s="19" t="s">
        <v>1004</v>
      </c>
      <c r="K66" s="24">
        <v>45932</v>
      </c>
      <c r="L66" s="19"/>
      <c r="M66" s="19"/>
      <c r="N66" s="21">
        <v>0</v>
      </c>
      <c r="O66" s="23">
        <v>208.65</v>
      </c>
      <c r="P66" s="19" t="s">
        <v>1015</v>
      </c>
      <c r="Q66" s="20">
        <v>0</v>
      </c>
      <c r="R66" s="19" t="s">
        <v>1023</v>
      </c>
      <c r="S66" s="19"/>
    </row>
    <row r="67" spans="1:19">
      <c r="A67" s="19" t="s">
        <v>66</v>
      </c>
      <c r="B67" s="19" t="s">
        <v>824</v>
      </c>
      <c r="C67" s="19" t="s">
        <v>829</v>
      </c>
      <c r="D67" s="20">
        <v>0</v>
      </c>
      <c r="E67" s="19" t="s">
        <v>838</v>
      </c>
      <c r="F67" s="19" t="s">
        <v>862</v>
      </c>
      <c r="G67" s="19" t="s">
        <v>886</v>
      </c>
      <c r="H67" s="19" t="s">
        <v>914</v>
      </c>
      <c r="I67" s="19" t="s">
        <v>989</v>
      </c>
      <c r="J67" s="19" t="s">
        <v>1004</v>
      </c>
      <c r="K67" s="24">
        <v>45932</v>
      </c>
      <c r="L67" s="19"/>
      <c r="M67" s="19"/>
      <c r="N67" s="21">
        <v>0</v>
      </c>
      <c r="O67" s="23">
        <v>80</v>
      </c>
      <c r="P67" s="19" t="s">
        <v>1014</v>
      </c>
      <c r="Q67" s="20">
        <v>0</v>
      </c>
      <c r="R67" s="19" t="s">
        <v>1023</v>
      </c>
      <c r="S67" s="19"/>
    </row>
    <row r="68" spans="1:19">
      <c r="A68" s="19" t="s">
        <v>67</v>
      </c>
      <c r="B68" s="19" t="s">
        <v>824</v>
      </c>
      <c r="C68" s="19" t="s">
        <v>829</v>
      </c>
      <c r="D68" s="20">
        <v>0</v>
      </c>
      <c r="E68" s="19" t="s">
        <v>839</v>
      </c>
      <c r="F68" s="19" t="s">
        <v>863</v>
      </c>
      <c r="G68" s="19" t="s">
        <v>887</v>
      </c>
      <c r="H68" s="19" t="s">
        <v>925</v>
      </c>
      <c r="I68" s="19" t="s">
        <v>989</v>
      </c>
      <c r="J68" s="19" t="s">
        <v>1004</v>
      </c>
      <c r="K68" s="24">
        <v>45932</v>
      </c>
      <c r="L68" s="19"/>
      <c r="M68" s="19"/>
      <c r="N68" s="21">
        <v>0</v>
      </c>
      <c r="O68" s="23">
        <v>160</v>
      </c>
      <c r="P68" s="19" t="s">
        <v>1014</v>
      </c>
      <c r="Q68" s="20">
        <v>0</v>
      </c>
      <c r="R68" s="19" t="s">
        <v>1021</v>
      </c>
      <c r="S68" s="19"/>
    </row>
    <row r="69" spans="1:19">
      <c r="A69" s="19" t="s">
        <v>68</v>
      </c>
      <c r="B69" s="19" t="s">
        <v>824</v>
      </c>
      <c r="C69" s="19" t="s">
        <v>829</v>
      </c>
      <c r="D69" s="20">
        <v>0</v>
      </c>
      <c r="E69" s="19" t="s">
        <v>855</v>
      </c>
      <c r="F69" s="19" t="s">
        <v>879</v>
      </c>
      <c r="G69" s="19" t="s">
        <v>903</v>
      </c>
      <c r="H69" s="19" t="s">
        <v>925</v>
      </c>
      <c r="I69" s="19" t="s">
        <v>989</v>
      </c>
      <c r="J69" s="19" t="s">
        <v>1004</v>
      </c>
      <c r="K69" s="24">
        <v>45932</v>
      </c>
      <c r="L69" s="19"/>
      <c r="M69" s="19"/>
      <c r="N69" s="21">
        <v>0</v>
      </c>
      <c r="O69" s="23">
        <v>100</v>
      </c>
      <c r="P69" s="19" t="s">
        <v>1014</v>
      </c>
      <c r="Q69" s="20">
        <v>0</v>
      </c>
      <c r="R69" s="19" t="s">
        <v>1022</v>
      </c>
      <c r="S69" s="19"/>
    </row>
    <row r="70" spans="1:19">
      <c r="A70" s="19" t="s">
        <v>69</v>
      </c>
      <c r="B70" s="19" t="s">
        <v>823</v>
      </c>
      <c r="C70" s="19" t="s">
        <v>828</v>
      </c>
      <c r="D70" s="20">
        <v>0</v>
      </c>
      <c r="E70" s="19" t="s">
        <v>836</v>
      </c>
      <c r="F70" s="19" t="s">
        <v>860</v>
      </c>
      <c r="G70" s="19" t="s">
        <v>884</v>
      </c>
      <c r="H70" s="19" t="s">
        <v>909</v>
      </c>
      <c r="I70" s="19" t="s">
        <v>989</v>
      </c>
      <c r="J70" s="19" t="s">
        <v>1004</v>
      </c>
      <c r="K70" s="24">
        <v>45933</v>
      </c>
      <c r="L70" s="19"/>
      <c r="M70" s="19"/>
      <c r="N70" s="21">
        <v>0</v>
      </c>
      <c r="O70" s="23">
        <v>488.2</v>
      </c>
      <c r="P70" s="19" t="s">
        <v>1014</v>
      </c>
      <c r="Q70" s="20">
        <v>0</v>
      </c>
      <c r="R70" s="19" t="s">
        <v>1021</v>
      </c>
      <c r="S70" s="19"/>
    </row>
    <row r="71" spans="1:19">
      <c r="A71" s="19" t="s">
        <v>70</v>
      </c>
      <c r="B71" s="19" t="s">
        <v>823</v>
      </c>
      <c r="C71" s="19" t="s">
        <v>828</v>
      </c>
      <c r="D71" s="20">
        <v>0</v>
      </c>
      <c r="E71" s="19" t="s">
        <v>842</v>
      </c>
      <c r="F71" s="19" t="s">
        <v>866</v>
      </c>
      <c r="G71" s="19" t="s">
        <v>890</v>
      </c>
      <c r="H71" s="19" t="s">
        <v>906</v>
      </c>
      <c r="I71" s="19" t="s">
        <v>989</v>
      </c>
      <c r="J71" s="19" t="s">
        <v>1004</v>
      </c>
      <c r="K71" s="24">
        <v>45933</v>
      </c>
      <c r="L71" s="19"/>
      <c r="M71" s="19"/>
      <c r="N71" s="21">
        <v>0</v>
      </c>
      <c r="O71" s="23">
        <v>799.99</v>
      </c>
      <c r="P71" s="19" t="s">
        <v>1015</v>
      </c>
      <c r="Q71" s="20">
        <v>0</v>
      </c>
      <c r="R71" s="19" t="s">
        <v>1022</v>
      </c>
      <c r="S71" s="19"/>
    </row>
    <row r="72" spans="1:19">
      <c r="A72" s="19" t="s">
        <v>71</v>
      </c>
      <c r="B72" s="19" t="s">
        <v>824</v>
      </c>
      <c r="C72" s="19" t="s">
        <v>829</v>
      </c>
      <c r="D72" s="20">
        <v>0</v>
      </c>
      <c r="E72" s="19" t="s">
        <v>835</v>
      </c>
      <c r="F72" s="19" t="s">
        <v>859</v>
      </c>
      <c r="G72" s="19" t="s">
        <v>883</v>
      </c>
      <c r="H72" s="19" t="s">
        <v>925</v>
      </c>
      <c r="I72" s="19" t="s">
        <v>989</v>
      </c>
      <c r="J72" s="19" t="s">
        <v>1004</v>
      </c>
      <c r="K72" s="24">
        <v>45933</v>
      </c>
      <c r="L72" s="19"/>
      <c r="M72" s="19"/>
      <c r="N72" s="21">
        <v>0</v>
      </c>
      <c r="O72" s="23">
        <v>152</v>
      </c>
      <c r="P72" s="19" t="s">
        <v>1014</v>
      </c>
      <c r="Q72" s="20">
        <v>0</v>
      </c>
      <c r="R72" s="19" t="s">
        <v>1021</v>
      </c>
      <c r="S72" s="19"/>
    </row>
    <row r="73" spans="1:19">
      <c r="A73" s="19" t="s">
        <v>72</v>
      </c>
      <c r="B73" s="19" t="s">
        <v>823</v>
      </c>
      <c r="C73" s="19" t="s">
        <v>828</v>
      </c>
      <c r="D73" s="20">
        <v>0</v>
      </c>
      <c r="E73" s="19" t="s">
        <v>853</v>
      </c>
      <c r="F73" s="19" t="s">
        <v>877</v>
      </c>
      <c r="G73" s="19" t="s">
        <v>901</v>
      </c>
      <c r="H73" s="19" t="s">
        <v>911</v>
      </c>
      <c r="I73" s="19" t="s">
        <v>989</v>
      </c>
      <c r="J73" s="19" t="s">
        <v>1004</v>
      </c>
      <c r="K73" s="24">
        <v>45934</v>
      </c>
      <c r="L73" s="19"/>
      <c r="M73" s="19"/>
      <c r="N73" s="21">
        <v>0</v>
      </c>
      <c r="O73" s="23">
        <v>372</v>
      </c>
      <c r="P73" s="19" t="s">
        <v>1014</v>
      </c>
      <c r="Q73" s="20">
        <v>0</v>
      </c>
      <c r="R73" s="19" t="s">
        <v>1023</v>
      </c>
      <c r="S73" s="19"/>
    </row>
    <row r="74" spans="1:19">
      <c r="A74" s="19" t="s">
        <v>73</v>
      </c>
      <c r="B74" s="19" t="s">
        <v>825</v>
      </c>
      <c r="C74" s="19" t="s">
        <v>830</v>
      </c>
      <c r="D74" s="20">
        <v>1</v>
      </c>
      <c r="E74" s="19" t="s">
        <v>845</v>
      </c>
      <c r="F74" s="19" t="s">
        <v>869</v>
      </c>
      <c r="G74" s="19" t="s">
        <v>893</v>
      </c>
      <c r="H74" s="19" t="s">
        <v>926</v>
      </c>
      <c r="I74" s="19" t="s">
        <v>997</v>
      </c>
      <c r="J74" s="19" t="s">
        <v>1005</v>
      </c>
      <c r="K74" s="24">
        <v>45934</v>
      </c>
      <c r="L74" s="26">
        <v>45934.89236111111</v>
      </c>
      <c r="M74" s="26">
        <v>45935.24652777778</v>
      </c>
      <c r="N74" s="21">
        <v>8.5</v>
      </c>
      <c r="O74" s="23">
        <v>7641.68</v>
      </c>
      <c r="P74" s="19" t="s">
        <v>1015</v>
      </c>
      <c r="Q74" s="20">
        <v>0</v>
      </c>
      <c r="R74" s="19" t="s">
        <v>1022</v>
      </c>
      <c r="S74" s="19" t="s">
        <v>1029</v>
      </c>
    </row>
    <row r="75" spans="1:19">
      <c r="A75" s="19" t="s">
        <v>74</v>
      </c>
      <c r="B75" s="19" t="s">
        <v>823</v>
      </c>
      <c r="C75" s="19" t="s">
        <v>828</v>
      </c>
      <c r="D75" s="20">
        <v>0</v>
      </c>
      <c r="E75" s="19" t="s">
        <v>841</v>
      </c>
      <c r="F75" s="19" t="s">
        <v>865</v>
      </c>
      <c r="G75" s="19" t="s">
        <v>889</v>
      </c>
      <c r="H75" s="19" t="s">
        <v>924</v>
      </c>
      <c r="I75" s="19" t="s">
        <v>989</v>
      </c>
      <c r="J75" s="19" t="s">
        <v>1004</v>
      </c>
      <c r="K75" s="24">
        <v>45935</v>
      </c>
      <c r="L75" s="19"/>
      <c r="M75" s="19"/>
      <c r="N75" s="21">
        <v>0</v>
      </c>
      <c r="O75" s="23">
        <v>1544.67</v>
      </c>
      <c r="P75" s="19" t="s">
        <v>1015</v>
      </c>
      <c r="Q75" s="20">
        <v>0</v>
      </c>
      <c r="R75" s="19" t="s">
        <v>1022</v>
      </c>
      <c r="S75" s="19"/>
    </row>
    <row r="76" spans="1:19">
      <c r="A76" s="19" t="s">
        <v>75</v>
      </c>
      <c r="B76" s="19" t="s">
        <v>823</v>
      </c>
      <c r="C76" s="19" t="s">
        <v>828</v>
      </c>
      <c r="D76" s="20">
        <v>0</v>
      </c>
      <c r="E76" s="19" t="s">
        <v>834</v>
      </c>
      <c r="F76" s="19" t="s">
        <v>858</v>
      </c>
      <c r="G76" s="19" t="s">
        <v>882</v>
      </c>
      <c r="H76" s="19" t="s">
        <v>911</v>
      </c>
      <c r="I76" s="19" t="s">
        <v>989</v>
      </c>
      <c r="J76" s="19" t="s">
        <v>1004</v>
      </c>
      <c r="K76" s="24">
        <v>45935</v>
      </c>
      <c r="L76" s="19"/>
      <c r="M76" s="19"/>
      <c r="N76" s="21">
        <v>0</v>
      </c>
      <c r="O76" s="23">
        <v>254.49</v>
      </c>
      <c r="P76" s="19" t="s">
        <v>1014</v>
      </c>
      <c r="Q76" s="20">
        <v>0</v>
      </c>
      <c r="R76" s="19" t="s">
        <v>1021</v>
      </c>
      <c r="S76" s="19"/>
    </row>
    <row r="77" spans="1:19">
      <c r="A77" s="19" t="s">
        <v>76</v>
      </c>
      <c r="B77" s="19" t="s">
        <v>823</v>
      </c>
      <c r="C77" s="19" t="s">
        <v>828</v>
      </c>
      <c r="D77" s="20">
        <v>0</v>
      </c>
      <c r="E77" s="19" t="s">
        <v>849</v>
      </c>
      <c r="F77" s="19" t="s">
        <v>873</v>
      </c>
      <c r="G77" s="19" t="s">
        <v>897</v>
      </c>
      <c r="H77" s="19" t="s">
        <v>911</v>
      </c>
      <c r="I77" s="19" t="s">
        <v>989</v>
      </c>
      <c r="J77" s="19" t="s">
        <v>1004</v>
      </c>
      <c r="K77" s="24">
        <v>45935</v>
      </c>
      <c r="L77" s="19"/>
      <c r="M77" s="19"/>
      <c r="N77" s="21">
        <v>0</v>
      </c>
      <c r="O77" s="23">
        <v>974.22</v>
      </c>
      <c r="P77" s="19" t="s">
        <v>1014</v>
      </c>
      <c r="Q77" s="20">
        <v>0</v>
      </c>
      <c r="R77" s="19" t="s">
        <v>1023</v>
      </c>
      <c r="S77" s="19"/>
    </row>
    <row r="78" spans="1:19">
      <c r="A78" s="19" t="s">
        <v>77</v>
      </c>
      <c r="B78" s="19" t="s">
        <v>825</v>
      </c>
      <c r="C78" s="19" t="s">
        <v>830</v>
      </c>
      <c r="D78" s="20">
        <v>1</v>
      </c>
      <c r="E78" s="19" t="s">
        <v>852</v>
      </c>
      <c r="F78" s="19" t="s">
        <v>876</v>
      </c>
      <c r="G78" s="19" t="s">
        <v>900</v>
      </c>
      <c r="H78" s="19" t="s">
        <v>918</v>
      </c>
      <c r="I78" s="19" t="s">
        <v>992</v>
      </c>
      <c r="J78" s="19" t="s">
        <v>1006</v>
      </c>
      <c r="K78" s="24">
        <v>45935</v>
      </c>
      <c r="L78" s="26">
        <v>45935.95902777778</v>
      </c>
      <c r="M78" s="26">
        <v>45936.55902777778</v>
      </c>
      <c r="N78" s="21">
        <v>0</v>
      </c>
      <c r="O78" s="23">
        <v>9245.74</v>
      </c>
      <c r="P78" s="19" t="s">
        <v>1014</v>
      </c>
      <c r="Q78" s="20">
        <v>0</v>
      </c>
      <c r="R78" s="19" t="s">
        <v>1022</v>
      </c>
      <c r="S78" s="19"/>
    </row>
    <row r="79" spans="1:19">
      <c r="A79" s="19" t="s">
        <v>78</v>
      </c>
      <c r="B79" s="19" t="s">
        <v>823</v>
      </c>
      <c r="C79" s="19" t="s">
        <v>828</v>
      </c>
      <c r="D79" s="20">
        <v>0</v>
      </c>
      <c r="E79" s="19" t="s">
        <v>840</v>
      </c>
      <c r="F79" s="19" t="s">
        <v>864</v>
      </c>
      <c r="G79" s="19" t="s">
        <v>888</v>
      </c>
      <c r="H79" s="19" t="s">
        <v>911</v>
      </c>
      <c r="I79" s="19" t="s">
        <v>989</v>
      </c>
      <c r="J79" s="19" t="s">
        <v>1004</v>
      </c>
      <c r="K79" s="24">
        <v>45936</v>
      </c>
      <c r="L79" s="19"/>
      <c r="M79" s="19"/>
      <c r="N79" s="21">
        <v>0</v>
      </c>
      <c r="O79" s="23">
        <v>428.22</v>
      </c>
      <c r="P79" s="19" t="s">
        <v>1015</v>
      </c>
      <c r="Q79" s="20">
        <v>0</v>
      </c>
      <c r="R79" s="19" t="s">
        <v>1022</v>
      </c>
      <c r="S79" s="19"/>
    </row>
    <row r="80" spans="1:19">
      <c r="A80" s="19" t="s">
        <v>79</v>
      </c>
      <c r="B80" s="19" t="s">
        <v>825</v>
      </c>
      <c r="C80" s="19" t="s">
        <v>830</v>
      </c>
      <c r="D80" s="20">
        <v>1</v>
      </c>
      <c r="E80" s="19" t="s">
        <v>849</v>
      </c>
      <c r="F80" s="19" t="s">
        <v>873</v>
      </c>
      <c r="G80" s="19" t="s">
        <v>897</v>
      </c>
      <c r="H80" s="19" t="s">
        <v>927</v>
      </c>
      <c r="I80" s="19" t="s">
        <v>998</v>
      </c>
      <c r="J80" s="19" t="s">
        <v>1005</v>
      </c>
      <c r="K80" s="24">
        <v>45936</v>
      </c>
      <c r="L80" s="26">
        <v>45936.34305555555</v>
      </c>
      <c r="M80" s="26">
        <v>45936.69305555556</v>
      </c>
      <c r="N80" s="21">
        <v>8.4</v>
      </c>
      <c r="O80" s="23">
        <v>7910.51</v>
      </c>
      <c r="P80" s="19" t="s">
        <v>1014</v>
      </c>
      <c r="Q80" s="20">
        <v>0</v>
      </c>
      <c r="R80" s="19" t="s">
        <v>1023</v>
      </c>
      <c r="S80" s="19" t="s">
        <v>1030</v>
      </c>
    </row>
    <row r="81" spans="1:19">
      <c r="A81" s="19" t="s">
        <v>80</v>
      </c>
      <c r="B81" s="19" t="s">
        <v>824</v>
      </c>
      <c r="C81" s="19" t="s">
        <v>829</v>
      </c>
      <c r="D81" s="20">
        <v>0</v>
      </c>
      <c r="E81" s="19" t="s">
        <v>846</v>
      </c>
      <c r="F81" s="19" t="s">
        <v>870</v>
      </c>
      <c r="G81" s="19" t="s">
        <v>894</v>
      </c>
      <c r="H81" s="19" t="s">
        <v>925</v>
      </c>
      <c r="I81" s="19" t="s">
        <v>989</v>
      </c>
      <c r="J81" s="19" t="s">
        <v>1004</v>
      </c>
      <c r="K81" s="24">
        <v>45936</v>
      </c>
      <c r="L81" s="19"/>
      <c r="M81" s="19"/>
      <c r="N81" s="21">
        <v>0</v>
      </c>
      <c r="O81" s="23">
        <v>100</v>
      </c>
      <c r="P81" s="19" t="s">
        <v>1014</v>
      </c>
      <c r="Q81" s="20">
        <v>0</v>
      </c>
      <c r="R81" s="19" t="s">
        <v>1021</v>
      </c>
      <c r="S81" s="19"/>
    </row>
    <row r="82" spans="1:19">
      <c r="A82" s="19" t="s">
        <v>81</v>
      </c>
      <c r="B82" s="19" t="s">
        <v>825</v>
      </c>
      <c r="C82" s="19" t="s">
        <v>830</v>
      </c>
      <c r="D82" s="20">
        <v>1</v>
      </c>
      <c r="E82" s="19" t="s">
        <v>851</v>
      </c>
      <c r="F82" s="19" t="s">
        <v>875</v>
      </c>
      <c r="G82" s="19" t="s">
        <v>899</v>
      </c>
      <c r="H82" s="19" t="s">
        <v>921</v>
      </c>
      <c r="I82" s="19" t="s">
        <v>995</v>
      </c>
      <c r="J82" s="19" t="s">
        <v>1007</v>
      </c>
      <c r="K82" s="24">
        <v>45936</v>
      </c>
      <c r="L82" s="26">
        <v>45936.95069444444</v>
      </c>
      <c r="M82" s="26">
        <v>45937.09236111111</v>
      </c>
      <c r="N82" s="21">
        <v>0</v>
      </c>
      <c r="O82" s="23">
        <v>5761.31</v>
      </c>
      <c r="P82" s="19" t="s">
        <v>1014</v>
      </c>
      <c r="Q82" s="20">
        <v>0</v>
      </c>
      <c r="R82" s="19" t="s">
        <v>1021</v>
      </c>
      <c r="S82" s="19"/>
    </row>
    <row r="83" spans="1:19">
      <c r="A83" s="19" t="s">
        <v>82</v>
      </c>
      <c r="B83" s="19" t="s">
        <v>824</v>
      </c>
      <c r="C83" s="19" t="s">
        <v>829</v>
      </c>
      <c r="D83" s="20">
        <v>0</v>
      </c>
      <c r="E83" s="19" t="s">
        <v>843</v>
      </c>
      <c r="F83" s="19" t="s">
        <v>867</v>
      </c>
      <c r="G83" s="19" t="s">
        <v>891</v>
      </c>
      <c r="H83" s="19" t="s">
        <v>925</v>
      </c>
      <c r="I83" s="19" t="s">
        <v>989</v>
      </c>
      <c r="J83" s="19" t="s">
        <v>1004</v>
      </c>
      <c r="K83" s="24">
        <v>45937</v>
      </c>
      <c r="L83" s="19"/>
      <c r="M83" s="19"/>
      <c r="N83" s="21">
        <v>0</v>
      </c>
      <c r="O83" s="23">
        <v>88</v>
      </c>
      <c r="P83" s="19" t="s">
        <v>1015</v>
      </c>
      <c r="Q83" s="20">
        <v>0</v>
      </c>
      <c r="R83" s="19" t="s">
        <v>1023</v>
      </c>
      <c r="S83" s="19"/>
    </row>
    <row r="84" spans="1:19">
      <c r="A84" s="19" t="s">
        <v>83</v>
      </c>
      <c r="B84" s="19" t="s">
        <v>824</v>
      </c>
      <c r="C84" s="19" t="s">
        <v>829</v>
      </c>
      <c r="D84" s="20">
        <v>0</v>
      </c>
      <c r="E84" s="19" t="s">
        <v>851</v>
      </c>
      <c r="F84" s="19" t="s">
        <v>875</v>
      </c>
      <c r="G84" s="19" t="s">
        <v>899</v>
      </c>
      <c r="H84" s="19" t="s">
        <v>914</v>
      </c>
      <c r="I84" s="19" t="s">
        <v>989</v>
      </c>
      <c r="J84" s="19" t="s">
        <v>1004</v>
      </c>
      <c r="K84" s="24">
        <v>45937</v>
      </c>
      <c r="L84" s="19"/>
      <c r="M84" s="19"/>
      <c r="N84" s="21">
        <v>0</v>
      </c>
      <c r="O84" s="23">
        <v>180</v>
      </c>
      <c r="P84" s="19" t="s">
        <v>1015</v>
      </c>
      <c r="Q84" s="20">
        <v>0</v>
      </c>
      <c r="R84" s="19" t="s">
        <v>1021</v>
      </c>
      <c r="S84" s="19"/>
    </row>
    <row r="85" spans="1:19">
      <c r="A85" s="19" t="s">
        <v>84</v>
      </c>
      <c r="B85" s="19" t="s">
        <v>823</v>
      </c>
      <c r="C85" s="19" t="s">
        <v>828</v>
      </c>
      <c r="D85" s="20">
        <v>0</v>
      </c>
      <c r="E85" s="19" t="s">
        <v>852</v>
      </c>
      <c r="F85" s="19" t="s">
        <v>876</v>
      </c>
      <c r="G85" s="19" t="s">
        <v>900</v>
      </c>
      <c r="H85" s="19" t="s">
        <v>909</v>
      </c>
      <c r="I85" s="19" t="s">
        <v>989</v>
      </c>
      <c r="J85" s="19" t="s">
        <v>1004</v>
      </c>
      <c r="K85" s="24">
        <v>45938</v>
      </c>
      <c r="L85" s="19"/>
      <c r="M85" s="19"/>
      <c r="N85" s="21">
        <v>0</v>
      </c>
      <c r="O85" s="23">
        <v>1132.61</v>
      </c>
      <c r="P85" s="19" t="s">
        <v>1015</v>
      </c>
      <c r="Q85" s="20">
        <v>0</v>
      </c>
      <c r="R85" s="19" t="s">
        <v>1022</v>
      </c>
      <c r="S85" s="19"/>
    </row>
    <row r="86" spans="1:19">
      <c r="A86" s="19" t="s">
        <v>85</v>
      </c>
      <c r="B86" s="19" t="s">
        <v>823</v>
      </c>
      <c r="C86" s="19" t="s">
        <v>828</v>
      </c>
      <c r="D86" s="20">
        <v>0</v>
      </c>
      <c r="E86" s="19" t="s">
        <v>839</v>
      </c>
      <c r="F86" s="19" t="s">
        <v>863</v>
      </c>
      <c r="G86" s="19" t="s">
        <v>887</v>
      </c>
      <c r="H86" s="19" t="s">
        <v>907</v>
      </c>
      <c r="I86" s="19" t="s">
        <v>989</v>
      </c>
      <c r="J86" s="19" t="s">
        <v>1004</v>
      </c>
      <c r="K86" s="24">
        <v>45939</v>
      </c>
      <c r="L86" s="19"/>
      <c r="M86" s="19"/>
      <c r="N86" s="21">
        <v>0</v>
      </c>
      <c r="O86" s="23">
        <v>625.48</v>
      </c>
      <c r="P86" s="19" t="s">
        <v>1015</v>
      </c>
      <c r="Q86" s="20">
        <v>0</v>
      </c>
      <c r="R86" s="19" t="s">
        <v>1022</v>
      </c>
      <c r="S86" s="19"/>
    </row>
    <row r="87" spans="1:19">
      <c r="A87" s="19" t="s">
        <v>86</v>
      </c>
      <c r="B87" s="19" t="s">
        <v>826</v>
      </c>
      <c r="C87" s="19" t="s">
        <v>831</v>
      </c>
      <c r="D87" s="20">
        <v>1</v>
      </c>
      <c r="E87" s="19" t="s">
        <v>845</v>
      </c>
      <c r="F87" s="19" t="s">
        <v>869</v>
      </c>
      <c r="G87" s="19" t="s">
        <v>893</v>
      </c>
      <c r="H87" s="19" t="s">
        <v>928</v>
      </c>
      <c r="I87" s="19" t="s">
        <v>991</v>
      </c>
      <c r="J87" s="19" t="s">
        <v>1006</v>
      </c>
      <c r="K87" s="24">
        <v>45940</v>
      </c>
      <c r="L87" s="26">
        <v>45940.50277777778</v>
      </c>
      <c r="M87" s="26">
        <v>45940.89444444444</v>
      </c>
      <c r="N87" s="21">
        <v>9.4</v>
      </c>
      <c r="O87" s="23">
        <v>12662.94</v>
      </c>
      <c r="P87" s="19" t="s">
        <v>1015</v>
      </c>
      <c r="Q87" s="20">
        <v>0</v>
      </c>
      <c r="R87" s="19" t="s">
        <v>1022</v>
      </c>
      <c r="S87" s="19"/>
    </row>
    <row r="88" spans="1:19">
      <c r="A88" s="19" t="s">
        <v>87</v>
      </c>
      <c r="B88" s="19" t="s">
        <v>825</v>
      </c>
      <c r="C88" s="19" t="s">
        <v>830</v>
      </c>
      <c r="D88" s="20">
        <v>1</v>
      </c>
      <c r="E88" s="19" t="s">
        <v>845</v>
      </c>
      <c r="F88" s="19" t="s">
        <v>869</v>
      </c>
      <c r="G88" s="19" t="s">
        <v>893</v>
      </c>
      <c r="H88" s="19" t="s">
        <v>926</v>
      </c>
      <c r="I88" s="19" t="s">
        <v>997</v>
      </c>
      <c r="J88" s="19" t="s">
        <v>1006</v>
      </c>
      <c r="K88" s="24">
        <v>45940</v>
      </c>
      <c r="L88" s="26">
        <v>45940.60416666666</v>
      </c>
      <c r="M88" s="26">
        <v>45940.82083333333</v>
      </c>
      <c r="N88" s="21">
        <v>5.2</v>
      </c>
      <c r="O88" s="23">
        <v>5937.94</v>
      </c>
      <c r="P88" s="19" t="s">
        <v>1014</v>
      </c>
      <c r="Q88" s="20">
        <v>0</v>
      </c>
      <c r="R88" s="19" t="s">
        <v>1023</v>
      </c>
      <c r="S88" s="19"/>
    </row>
    <row r="89" spans="1:19">
      <c r="A89" s="19" t="s">
        <v>88</v>
      </c>
      <c r="B89" s="19" t="s">
        <v>825</v>
      </c>
      <c r="C89" s="19" t="s">
        <v>830</v>
      </c>
      <c r="D89" s="20">
        <v>1</v>
      </c>
      <c r="E89" s="19" t="s">
        <v>846</v>
      </c>
      <c r="F89" s="19" t="s">
        <v>870</v>
      </c>
      <c r="G89" s="19" t="s">
        <v>894</v>
      </c>
      <c r="H89" s="19" t="s">
        <v>929</v>
      </c>
      <c r="I89" s="19" t="s">
        <v>993</v>
      </c>
      <c r="J89" s="19" t="s">
        <v>1006</v>
      </c>
      <c r="K89" s="24">
        <v>45940</v>
      </c>
      <c r="L89" s="26">
        <v>45940.87638888889</v>
      </c>
      <c r="M89" s="26">
        <v>45941.05555555555</v>
      </c>
      <c r="N89" s="21">
        <v>0</v>
      </c>
      <c r="O89" s="23">
        <v>1775.46</v>
      </c>
      <c r="P89" s="19" t="s">
        <v>1014</v>
      </c>
      <c r="Q89" s="20">
        <v>0</v>
      </c>
      <c r="R89" s="19" t="s">
        <v>1023</v>
      </c>
      <c r="S89" s="19"/>
    </row>
    <row r="90" spans="1:19">
      <c r="A90" s="19" t="s">
        <v>89</v>
      </c>
      <c r="B90" s="19" t="s">
        <v>824</v>
      </c>
      <c r="C90" s="19" t="s">
        <v>829</v>
      </c>
      <c r="D90" s="20">
        <v>0</v>
      </c>
      <c r="E90" s="19" t="s">
        <v>834</v>
      </c>
      <c r="F90" s="19" t="s">
        <v>858</v>
      </c>
      <c r="G90" s="19" t="s">
        <v>882</v>
      </c>
      <c r="H90" s="19" t="s">
        <v>908</v>
      </c>
      <c r="I90" s="19" t="s">
        <v>989</v>
      </c>
      <c r="J90" s="19" t="s">
        <v>1004</v>
      </c>
      <c r="K90" s="24">
        <v>45941</v>
      </c>
      <c r="L90" s="19"/>
      <c r="M90" s="19"/>
      <c r="N90" s="21">
        <v>0</v>
      </c>
      <c r="O90" s="23">
        <v>120</v>
      </c>
      <c r="P90" s="19" t="s">
        <v>1014</v>
      </c>
      <c r="Q90" s="20">
        <v>0</v>
      </c>
      <c r="R90" s="19" t="s">
        <v>1021</v>
      </c>
      <c r="S90" s="19"/>
    </row>
    <row r="91" spans="1:19">
      <c r="A91" s="19" t="s">
        <v>90</v>
      </c>
      <c r="B91" s="19" t="s">
        <v>823</v>
      </c>
      <c r="C91" s="19" t="s">
        <v>828</v>
      </c>
      <c r="D91" s="20">
        <v>0</v>
      </c>
      <c r="E91" s="19" t="s">
        <v>848</v>
      </c>
      <c r="F91" s="19" t="s">
        <v>872</v>
      </c>
      <c r="G91" s="19" t="s">
        <v>896</v>
      </c>
      <c r="H91" s="19" t="s">
        <v>917</v>
      </c>
      <c r="I91" s="19" t="s">
        <v>989</v>
      </c>
      <c r="J91" s="19" t="s">
        <v>1004</v>
      </c>
      <c r="K91" s="24">
        <v>45942</v>
      </c>
      <c r="L91" s="19"/>
      <c r="M91" s="19"/>
      <c r="N91" s="21">
        <v>0</v>
      </c>
      <c r="O91" s="23">
        <v>1604.28</v>
      </c>
      <c r="P91" s="19" t="s">
        <v>1015</v>
      </c>
      <c r="Q91" s="20">
        <v>0</v>
      </c>
      <c r="R91" s="19" t="s">
        <v>1021</v>
      </c>
      <c r="S91" s="19"/>
    </row>
    <row r="92" spans="1:19">
      <c r="A92" s="19" t="s">
        <v>91</v>
      </c>
      <c r="B92" s="19" t="s">
        <v>823</v>
      </c>
      <c r="C92" s="19" t="s">
        <v>828</v>
      </c>
      <c r="D92" s="20">
        <v>0</v>
      </c>
      <c r="E92" s="19" t="s">
        <v>856</v>
      </c>
      <c r="F92" s="19" t="s">
        <v>880</v>
      </c>
      <c r="G92" s="19" t="s">
        <v>904</v>
      </c>
      <c r="H92" s="19" t="s">
        <v>907</v>
      </c>
      <c r="I92" s="19" t="s">
        <v>989</v>
      </c>
      <c r="J92" s="19" t="s">
        <v>1004</v>
      </c>
      <c r="K92" s="24">
        <v>45942</v>
      </c>
      <c r="L92" s="19"/>
      <c r="M92" s="19"/>
      <c r="N92" s="21">
        <v>0</v>
      </c>
      <c r="O92" s="23">
        <v>171.54</v>
      </c>
      <c r="P92" s="19" t="s">
        <v>1015</v>
      </c>
      <c r="Q92" s="20">
        <v>0</v>
      </c>
      <c r="R92" s="19" t="s">
        <v>1023</v>
      </c>
      <c r="S92" s="19"/>
    </row>
    <row r="93" spans="1:19">
      <c r="A93" s="19" t="s">
        <v>92</v>
      </c>
      <c r="B93" s="19" t="s">
        <v>824</v>
      </c>
      <c r="C93" s="19" t="s">
        <v>829</v>
      </c>
      <c r="D93" s="20">
        <v>0</v>
      </c>
      <c r="E93" s="19" t="s">
        <v>852</v>
      </c>
      <c r="F93" s="19" t="s">
        <v>876</v>
      </c>
      <c r="G93" s="19" t="s">
        <v>900</v>
      </c>
      <c r="H93" s="19" t="s">
        <v>914</v>
      </c>
      <c r="I93" s="19" t="s">
        <v>989</v>
      </c>
      <c r="J93" s="19" t="s">
        <v>1004</v>
      </c>
      <c r="K93" s="24">
        <v>45942</v>
      </c>
      <c r="L93" s="19"/>
      <c r="M93" s="19"/>
      <c r="N93" s="21">
        <v>0</v>
      </c>
      <c r="O93" s="23">
        <v>280</v>
      </c>
      <c r="P93" s="19" t="s">
        <v>1015</v>
      </c>
      <c r="Q93" s="20">
        <v>0</v>
      </c>
      <c r="R93" s="19" t="s">
        <v>1023</v>
      </c>
      <c r="S93" s="19"/>
    </row>
    <row r="94" spans="1:19">
      <c r="A94" s="19" t="s">
        <v>93</v>
      </c>
      <c r="B94" s="19" t="s">
        <v>823</v>
      </c>
      <c r="C94" s="19" t="s">
        <v>828</v>
      </c>
      <c r="D94" s="20">
        <v>0</v>
      </c>
      <c r="E94" s="19" t="s">
        <v>851</v>
      </c>
      <c r="F94" s="19" t="s">
        <v>875</v>
      </c>
      <c r="G94" s="19" t="s">
        <v>899</v>
      </c>
      <c r="H94" s="19" t="s">
        <v>907</v>
      </c>
      <c r="I94" s="19" t="s">
        <v>989</v>
      </c>
      <c r="J94" s="19" t="s">
        <v>1004</v>
      </c>
      <c r="K94" s="24">
        <v>45944</v>
      </c>
      <c r="L94" s="19"/>
      <c r="M94" s="19"/>
      <c r="N94" s="21">
        <v>0</v>
      </c>
      <c r="O94" s="23">
        <v>423.97</v>
      </c>
      <c r="P94" s="19" t="s">
        <v>1014</v>
      </c>
      <c r="Q94" s="20">
        <v>0</v>
      </c>
      <c r="R94" s="19" t="s">
        <v>1023</v>
      </c>
      <c r="S94" s="19"/>
    </row>
    <row r="95" spans="1:19">
      <c r="A95" s="19" t="s">
        <v>94</v>
      </c>
      <c r="B95" s="19" t="s">
        <v>824</v>
      </c>
      <c r="C95" s="19" t="s">
        <v>829</v>
      </c>
      <c r="D95" s="20">
        <v>0</v>
      </c>
      <c r="E95" s="19" t="s">
        <v>850</v>
      </c>
      <c r="F95" s="19" t="s">
        <v>874</v>
      </c>
      <c r="G95" s="19" t="s">
        <v>898</v>
      </c>
      <c r="H95" s="19" t="s">
        <v>910</v>
      </c>
      <c r="I95" s="19" t="s">
        <v>989</v>
      </c>
      <c r="J95" s="19" t="s">
        <v>1004</v>
      </c>
      <c r="K95" s="24">
        <v>45944</v>
      </c>
      <c r="L95" s="19"/>
      <c r="M95" s="19"/>
      <c r="N95" s="21">
        <v>0</v>
      </c>
      <c r="O95" s="23">
        <v>100</v>
      </c>
      <c r="P95" s="19" t="s">
        <v>1015</v>
      </c>
      <c r="Q95" s="20">
        <v>0</v>
      </c>
      <c r="R95" s="19" t="s">
        <v>1023</v>
      </c>
      <c r="S95" s="19"/>
    </row>
    <row r="96" spans="1:19">
      <c r="A96" s="19" t="s">
        <v>95</v>
      </c>
      <c r="B96" s="19" t="s">
        <v>823</v>
      </c>
      <c r="C96" s="19" t="s">
        <v>828</v>
      </c>
      <c r="D96" s="20">
        <v>0</v>
      </c>
      <c r="E96" s="19" t="s">
        <v>854</v>
      </c>
      <c r="F96" s="19" t="s">
        <v>878</v>
      </c>
      <c r="G96" s="19" t="s">
        <v>902</v>
      </c>
      <c r="H96" s="19" t="s">
        <v>912</v>
      </c>
      <c r="I96" s="19" t="s">
        <v>989</v>
      </c>
      <c r="J96" s="19" t="s">
        <v>1004</v>
      </c>
      <c r="K96" s="24">
        <v>45945</v>
      </c>
      <c r="L96" s="19"/>
      <c r="M96" s="19"/>
      <c r="N96" s="21">
        <v>0</v>
      </c>
      <c r="O96" s="23">
        <v>333.15</v>
      </c>
      <c r="P96" s="19" t="s">
        <v>1015</v>
      </c>
      <c r="Q96" s="20">
        <v>0</v>
      </c>
      <c r="R96" s="19" t="s">
        <v>1021</v>
      </c>
      <c r="S96" s="19"/>
    </row>
    <row r="97" spans="1:19">
      <c r="A97" s="19" t="s">
        <v>96</v>
      </c>
      <c r="B97" s="19" t="s">
        <v>823</v>
      </c>
      <c r="C97" s="19" t="s">
        <v>828</v>
      </c>
      <c r="D97" s="20">
        <v>0</v>
      </c>
      <c r="E97" s="19" t="s">
        <v>855</v>
      </c>
      <c r="F97" s="19" t="s">
        <v>879</v>
      </c>
      <c r="G97" s="19" t="s">
        <v>903</v>
      </c>
      <c r="H97" s="19" t="s">
        <v>906</v>
      </c>
      <c r="I97" s="19" t="s">
        <v>989</v>
      </c>
      <c r="J97" s="19" t="s">
        <v>1004</v>
      </c>
      <c r="K97" s="24">
        <v>45946</v>
      </c>
      <c r="L97" s="19"/>
      <c r="M97" s="19"/>
      <c r="N97" s="21">
        <v>0</v>
      </c>
      <c r="O97" s="23">
        <v>403.77</v>
      </c>
      <c r="P97" s="19" t="s">
        <v>1014</v>
      </c>
      <c r="Q97" s="20">
        <v>0</v>
      </c>
      <c r="R97" s="19" t="s">
        <v>1023</v>
      </c>
      <c r="S97" s="19"/>
    </row>
    <row r="98" spans="1:19">
      <c r="A98" s="19" t="s">
        <v>97</v>
      </c>
      <c r="B98" s="19" t="s">
        <v>823</v>
      </c>
      <c r="C98" s="19" t="s">
        <v>828</v>
      </c>
      <c r="D98" s="20">
        <v>0</v>
      </c>
      <c r="E98" s="19" t="s">
        <v>847</v>
      </c>
      <c r="F98" s="19" t="s">
        <v>871</v>
      </c>
      <c r="G98" s="19" t="s">
        <v>895</v>
      </c>
      <c r="H98" s="19" t="s">
        <v>912</v>
      </c>
      <c r="I98" s="19" t="s">
        <v>989</v>
      </c>
      <c r="J98" s="19" t="s">
        <v>1004</v>
      </c>
      <c r="K98" s="24">
        <v>45946</v>
      </c>
      <c r="L98" s="19"/>
      <c r="M98" s="19"/>
      <c r="N98" s="21">
        <v>0</v>
      </c>
      <c r="O98" s="23">
        <v>356.2</v>
      </c>
      <c r="P98" s="19" t="s">
        <v>1015</v>
      </c>
      <c r="Q98" s="20">
        <v>0</v>
      </c>
      <c r="R98" s="19" t="s">
        <v>1021</v>
      </c>
      <c r="S98" s="19"/>
    </row>
    <row r="99" spans="1:19">
      <c r="A99" s="19" t="s">
        <v>98</v>
      </c>
      <c r="B99" s="19" t="s">
        <v>824</v>
      </c>
      <c r="C99" s="19" t="s">
        <v>829</v>
      </c>
      <c r="D99" s="20">
        <v>0</v>
      </c>
      <c r="E99" s="19" t="s">
        <v>854</v>
      </c>
      <c r="F99" s="19" t="s">
        <v>878</v>
      </c>
      <c r="G99" s="19" t="s">
        <v>902</v>
      </c>
      <c r="H99" s="19" t="s">
        <v>914</v>
      </c>
      <c r="I99" s="19" t="s">
        <v>989</v>
      </c>
      <c r="J99" s="19" t="s">
        <v>1004</v>
      </c>
      <c r="K99" s="24">
        <v>45946</v>
      </c>
      <c r="L99" s="19"/>
      <c r="M99" s="19"/>
      <c r="N99" s="21">
        <v>0</v>
      </c>
      <c r="O99" s="23">
        <v>120</v>
      </c>
      <c r="P99" s="19" t="s">
        <v>1016</v>
      </c>
      <c r="Q99" s="20">
        <v>1</v>
      </c>
      <c r="R99" s="19" t="s">
        <v>1021</v>
      </c>
      <c r="S99" s="19"/>
    </row>
    <row r="100" spans="1:19">
      <c r="A100" s="19" t="s">
        <v>99</v>
      </c>
      <c r="B100" s="19" t="s">
        <v>823</v>
      </c>
      <c r="C100" s="19" t="s">
        <v>828</v>
      </c>
      <c r="D100" s="20">
        <v>0</v>
      </c>
      <c r="E100" s="19" t="s">
        <v>842</v>
      </c>
      <c r="F100" s="19" t="s">
        <v>866</v>
      </c>
      <c r="G100" s="19" t="s">
        <v>890</v>
      </c>
      <c r="H100" s="19" t="s">
        <v>909</v>
      </c>
      <c r="I100" s="19" t="s">
        <v>989</v>
      </c>
      <c r="J100" s="19" t="s">
        <v>1004</v>
      </c>
      <c r="K100" s="24">
        <v>45947</v>
      </c>
      <c r="L100" s="19"/>
      <c r="M100" s="19"/>
      <c r="N100" s="21">
        <v>0</v>
      </c>
      <c r="O100" s="23">
        <v>831.14</v>
      </c>
      <c r="P100" s="19" t="s">
        <v>1014</v>
      </c>
      <c r="Q100" s="20">
        <v>0</v>
      </c>
      <c r="R100" s="19" t="s">
        <v>1023</v>
      </c>
      <c r="S100" s="19"/>
    </row>
    <row r="101" spans="1:19">
      <c r="A101" s="19" t="s">
        <v>100</v>
      </c>
      <c r="B101" s="19" t="s">
        <v>824</v>
      </c>
      <c r="C101" s="19" t="s">
        <v>829</v>
      </c>
      <c r="D101" s="20">
        <v>0</v>
      </c>
      <c r="E101" s="19" t="s">
        <v>844</v>
      </c>
      <c r="F101" s="19" t="s">
        <v>868</v>
      </c>
      <c r="G101" s="19" t="s">
        <v>892</v>
      </c>
      <c r="H101" s="19" t="s">
        <v>914</v>
      </c>
      <c r="I101" s="19" t="s">
        <v>989</v>
      </c>
      <c r="J101" s="19" t="s">
        <v>1004</v>
      </c>
      <c r="K101" s="24">
        <v>45947</v>
      </c>
      <c r="L101" s="19"/>
      <c r="M101" s="19"/>
      <c r="N101" s="21">
        <v>0</v>
      </c>
      <c r="O101" s="23">
        <v>140</v>
      </c>
      <c r="P101" s="19" t="s">
        <v>1015</v>
      </c>
      <c r="Q101" s="20">
        <v>0</v>
      </c>
      <c r="R101" s="19" t="s">
        <v>1023</v>
      </c>
      <c r="S101" s="19"/>
    </row>
    <row r="102" spans="1:19">
      <c r="A102" s="19" t="s">
        <v>101</v>
      </c>
      <c r="B102" s="19" t="s">
        <v>823</v>
      </c>
      <c r="C102" s="19" t="s">
        <v>828</v>
      </c>
      <c r="D102" s="20">
        <v>0</v>
      </c>
      <c r="E102" s="19" t="s">
        <v>845</v>
      </c>
      <c r="F102" s="19" t="s">
        <v>869</v>
      </c>
      <c r="G102" s="19" t="s">
        <v>893</v>
      </c>
      <c r="H102" s="19" t="s">
        <v>917</v>
      </c>
      <c r="I102" s="19" t="s">
        <v>989</v>
      </c>
      <c r="J102" s="19" t="s">
        <v>1004</v>
      </c>
      <c r="K102" s="24">
        <v>45949</v>
      </c>
      <c r="L102" s="19"/>
      <c r="M102" s="19"/>
      <c r="N102" s="21">
        <v>0</v>
      </c>
      <c r="O102" s="23">
        <v>1054.65</v>
      </c>
      <c r="P102" s="19" t="s">
        <v>1014</v>
      </c>
      <c r="Q102" s="20">
        <v>0</v>
      </c>
      <c r="R102" s="19" t="s">
        <v>1023</v>
      </c>
      <c r="S102" s="19"/>
    </row>
    <row r="103" spans="1:19">
      <c r="A103" s="19" t="s">
        <v>102</v>
      </c>
      <c r="B103" s="19" t="s">
        <v>823</v>
      </c>
      <c r="C103" s="19" t="s">
        <v>828</v>
      </c>
      <c r="D103" s="20">
        <v>0</v>
      </c>
      <c r="E103" s="19" t="s">
        <v>844</v>
      </c>
      <c r="F103" s="19" t="s">
        <v>868</v>
      </c>
      <c r="G103" s="19" t="s">
        <v>892</v>
      </c>
      <c r="H103" s="19" t="s">
        <v>907</v>
      </c>
      <c r="I103" s="19" t="s">
        <v>989</v>
      </c>
      <c r="J103" s="19" t="s">
        <v>1004</v>
      </c>
      <c r="K103" s="24">
        <v>45950</v>
      </c>
      <c r="L103" s="19"/>
      <c r="M103" s="19"/>
      <c r="N103" s="21">
        <v>0</v>
      </c>
      <c r="O103" s="23">
        <v>379.57</v>
      </c>
      <c r="P103" s="19" t="s">
        <v>1015</v>
      </c>
      <c r="Q103" s="20">
        <v>0</v>
      </c>
      <c r="R103" s="19" t="s">
        <v>1021</v>
      </c>
      <c r="S103" s="19"/>
    </row>
    <row r="104" spans="1:19">
      <c r="A104" s="19" t="s">
        <v>103</v>
      </c>
      <c r="B104" s="19" t="s">
        <v>823</v>
      </c>
      <c r="C104" s="19" t="s">
        <v>828</v>
      </c>
      <c r="D104" s="20">
        <v>0</v>
      </c>
      <c r="E104" s="19" t="s">
        <v>836</v>
      </c>
      <c r="F104" s="19" t="s">
        <v>860</v>
      </c>
      <c r="G104" s="19" t="s">
        <v>884</v>
      </c>
      <c r="H104" s="19" t="s">
        <v>909</v>
      </c>
      <c r="I104" s="19" t="s">
        <v>989</v>
      </c>
      <c r="J104" s="19" t="s">
        <v>1004</v>
      </c>
      <c r="K104" s="24">
        <v>45950</v>
      </c>
      <c r="L104" s="19"/>
      <c r="M104" s="19"/>
      <c r="N104" s="21">
        <v>0</v>
      </c>
      <c r="O104" s="23">
        <v>402.97</v>
      </c>
      <c r="P104" s="19" t="s">
        <v>1014</v>
      </c>
      <c r="Q104" s="20">
        <v>0</v>
      </c>
      <c r="R104" s="19" t="s">
        <v>1022</v>
      </c>
      <c r="S104" s="19"/>
    </row>
    <row r="105" spans="1:19">
      <c r="A105" s="19" t="s">
        <v>104</v>
      </c>
      <c r="B105" s="19" t="s">
        <v>823</v>
      </c>
      <c r="C105" s="19" t="s">
        <v>828</v>
      </c>
      <c r="D105" s="20">
        <v>0</v>
      </c>
      <c r="E105" s="19" t="s">
        <v>841</v>
      </c>
      <c r="F105" s="19" t="s">
        <v>865</v>
      </c>
      <c r="G105" s="19" t="s">
        <v>889</v>
      </c>
      <c r="H105" s="19" t="s">
        <v>924</v>
      </c>
      <c r="I105" s="19" t="s">
        <v>989</v>
      </c>
      <c r="J105" s="19" t="s">
        <v>1004</v>
      </c>
      <c r="K105" s="24">
        <v>45951</v>
      </c>
      <c r="L105" s="19"/>
      <c r="M105" s="19"/>
      <c r="N105" s="21">
        <v>0</v>
      </c>
      <c r="O105" s="23">
        <v>956.91</v>
      </c>
      <c r="P105" s="19" t="s">
        <v>1015</v>
      </c>
      <c r="Q105" s="20">
        <v>0</v>
      </c>
      <c r="R105" s="19" t="s">
        <v>1023</v>
      </c>
      <c r="S105" s="19"/>
    </row>
    <row r="106" spans="1:19">
      <c r="A106" s="19" t="s">
        <v>105</v>
      </c>
      <c r="B106" s="19" t="s">
        <v>823</v>
      </c>
      <c r="C106" s="19" t="s">
        <v>828</v>
      </c>
      <c r="D106" s="20">
        <v>0</v>
      </c>
      <c r="E106" s="19" t="s">
        <v>843</v>
      </c>
      <c r="F106" s="19" t="s">
        <v>867</v>
      </c>
      <c r="G106" s="19" t="s">
        <v>891</v>
      </c>
      <c r="H106" s="19" t="s">
        <v>907</v>
      </c>
      <c r="I106" s="19" t="s">
        <v>989</v>
      </c>
      <c r="J106" s="19" t="s">
        <v>1004</v>
      </c>
      <c r="K106" s="24">
        <v>45951</v>
      </c>
      <c r="L106" s="19"/>
      <c r="M106" s="19"/>
      <c r="N106" s="21">
        <v>0</v>
      </c>
      <c r="O106" s="23">
        <v>158.11</v>
      </c>
      <c r="P106" s="19" t="s">
        <v>1014</v>
      </c>
      <c r="Q106" s="20">
        <v>0</v>
      </c>
      <c r="R106" s="19" t="s">
        <v>1021</v>
      </c>
      <c r="S106" s="19"/>
    </row>
    <row r="107" spans="1:19">
      <c r="A107" s="19" t="s">
        <v>106</v>
      </c>
      <c r="B107" s="19" t="s">
        <v>823</v>
      </c>
      <c r="C107" s="19" t="s">
        <v>828</v>
      </c>
      <c r="D107" s="20">
        <v>0</v>
      </c>
      <c r="E107" s="19" t="s">
        <v>838</v>
      </c>
      <c r="F107" s="19" t="s">
        <v>862</v>
      </c>
      <c r="G107" s="19" t="s">
        <v>886</v>
      </c>
      <c r="H107" s="19" t="s">
        <v>907</v>
      </c>
      <c r="I107" s="19" t="s">
        <v>989</v>
      </c>
      <c r="J107" s="19" t="s">
        <v>1004</v>
      </c>
      <c r="K107" s="24">
        <v>45951</v>
      </c>
      <c r="L107" s="19"/>
      <c r="M107" s="19"/>
      <c r="N107" s="21">
        <v>0</v>
      </c>
      <c r="O107" s="23">
        <v>207.06</v>
      </c>
      <c r="P107" s="19" t="s">
        <v>1014</v>
      </c>
      <c r="Q107" s="20">
        <v>0</v>
      </c>
      <c r="R107" s="19" t="s">
        <v>1023</v>
      </c>
      <c r="S107" s="19"/>
    </row>
    <row r="108" spans="1:19">
      <c r="A108" s="19" t="s">
        <v>107</v>
      </c>
      <c r="B108" s="19" t="s">
        <v>825</v>
      </c>
      <c r="C108" s="19" t="s">
        <v>830</v>
      </c>
      <c r="D108" s="20">
        <v>1</v>
      </c>
      <c r="E108" s="19" t="s">
        <v>837</v>
      </c>
      <c r="F108" s="19" t="s">
        <v>861</v>
      </c>
      <c r="G108" s="19" t="s">
        <v>885</v>
      </c>
      <c r="H108" s="19" t="s">
        <v>930</v>
      </c>
      <c r="I108" s="19" t="s">
        <v>998</v>
      </c>
      <c r="J108" s="19" t="s">
        <v>1006</v>
      </c>
      <c r="K108" s="24">
        <v>45951</v>
      </c>
      <c r="L108" s="26">
        <v>45951.45069444444</v>
      </c>
      <c r="M108" s="26">
        <v>45951.8125</v>
      </c>
      <c r="N108" s="21">
        <v>0</v>
      </c>
      <c r="O108" s="23">
        <v>3239.46</v>
      </c>
      <c r="P108" s="19" t="s">
        <v>1015</v>
      </c>
      <c r="Q108" s="20">
        <v>0</v>
      </c>
      <c r="R108" s="19" t="s">
        <v>1023</v>
      </c>
      <c r="S108" s="19"/>
    </row>
    <row r="109" spans="1:19">
      <c r="A109" s="19" t="s">
        <v>108</v>
      </c>
      <c r="B109" s="19" t="s">
        <v>823</v>
      </c>
      <c r="C109" s="19" t="s">
        <v>828</v>
      </c>
      <c r="D109" s="20">
        <v>0</v>
      </c>
      <c r="E109" s="19" t="s">
        <v>837</v>
      </c>
      <c r="F109" s="19" t="s">
        <v>861</v>
      </c>
      <c r="G109" s="19" t="s">
        <v>885</v>
      </c>
      <c r="H109" s="19" t="s">
        <v>909</v>
      </c>
      <c r="I109" s="19" t="s">
        <v>989</v>
      </c>
      <c r="J109" s="19" t="s">
        <v>1004</v>
      </c>
      <c r="K109" s="24">
        <v>45952</v>
      </c>
      <c r="L109" s="19"/>
      <c r="M109" s="19"/>
      <c r="N109" s="21">
        <v>0</v>
      </c>
      <c r="O109" s="23">
        <v>862.3200000000001</v>
      </c>
      <c r="P109" s="19" t="s">
        <v>1016</v>
      </c>
      <c r="Q109" s="20">
        <v>1</v>
      </c>
      <c r="R109" s="19" t="s">
        <v>1022</v>
      </c>
      <c r="S109" s="19"/>
    </row>
    <row r="110" spans="1:19">
      <c r="A110" s="19" t="s">
        <v>109</v>
      </c>
      <c r="B110" s="19" t="s">
        <v>823</v>
      </c>
      <c r="C110" s="19" t="s">
        <v>828</v>
      </c>
      <c r="D110" s="20">
        <v>0</v>
      </c>
      <c r="E110" s="19" t="s">
        <v>834</v>
      </c>
      <c r="F110" s="19" t="s">
        <v>858</v>
      </c>
      <c r="G110" s="19" t="s">
        <v>882</v>
      </c>
      <c r="H110" s="19" t="s">
        <v>909</v>
      </c>
      <c r="I110" s="19" t="s">
        <v>989</v>
      </c>
      <c r="J110" s="19" t="s">
        <v>1004</v>
      </c>
      <c r="K110" s="24">
        <v>45952</v>
      </c>
      <c r="L110" s="19"/>
      <c r="M110" s="19"/>
      <c r="N110" s="21">
        <v>0</v>
      </c>
      <c r="O110" s="23">
        <v>394.52</v>
      </c>
      <c r="P110" s="19" t="s">
        <v>1015</v>
      </c>
      <c r="Q110" s="20">
        <v>0</v>
      </c>
      <c r="R110" s="19" t="s">
        <v>1023</v>
      </c>
      <c r="S110" s="19"/>
    </row>
    <row r="111" spans="1:19">
      <c r="A111" s="19" t="s">
        <v>110</v>
      </c>
      <c r="B111" s="19" t="s">
        <v>825</v>
      </c>
      <c r="C111" s="19" t="s">
        <v>830</v>
      </c>
      <c r="D111" s="20">
        <v>1</v>
      </c>
      <c r="E111" s="19" t="s">
        <v>846</v>
      </c>
      <c r="F111" s="19" t="s">
        <v>870</v>
      </c>
      <c r="G111" s="19" t="s">
        <v>894</v>
      </c>
      <c r="H111" s="19" t="s">
        <v>931</v>
      </c>
      <c r="I111" s="19" t="s">
        <v>993</v>
      </c>
      <c r="J111" s="19" t="s">
        <v>1005</v>
      </c>
      <c r="K111" s="24">
        <v>45952</v>
      </c>
      <c r="L111" s="26">
        <v>45952.38125</v>
      </c>
      <c r="M111" s="26">
        <v>45952.79375</v>
      </c>
      <c r="N111" s="21">
        <v>0</v>
      </c>
      <c r="O111" s="23">
        <v>2028.31</v>
      </c>
      <c r="P111" s="19" t="s">
        <v>1015</v>
      </c>
      <c r="Q111" s="20">
        <v>0</v>
      </c>
      <c r="R111" s="19" t="s">
        <v>1022</v>
      </c>
      <c r="S111" s="19" t="s">
        <v>1027</v>
      </c>
    </row>
    <row r="112" spans="1:19">
      <c r="A112" s="19" t="s">
        <v>111</v>
      </c>
      <c r="B112" s="19" t="s">
        <v>823</v>
      </c>
      <c r="C112" s="19" t="s">
        <v>828</v>
      </c>
      <c r="D112" s="20">
        <v>0</v>
      </c>
      <c r="E112" s="19" t="s">
        <v>846</v>
      </c>
      <c r="F112" s="19" t="s">
        <v>870</v>
      </c>
      <c r="G112" s="19" t="s">
        <v>894</v>
      </c>
      <c r="H112" s="19" t="s">
        <v>917</v>
      </c>
      <c r="I112" s="19" t="s">
        <v>989</v>
      </c>
      <c r="J112" s="19" t="s">
        <v>1004</v>
      </c>
      <c r="K112" s="24">
        <v>45953</v>
      </c>
      <c r="L112" s="19"/>
      <c r="M112" s="19"/>
      <c r="N112" s="21">
        <v>0</v>
      </c>
      <c r="O112" s="23">
        <v>293.64</v>
      </c>
      <c r="P112" s="19" t="s">
        <v>1015</v>
      </c>
      <c r="Q112" s="20">
        <v>0</v>
      </c>
      <c r="R112" s="19" t="s">
        <v>1022</v>
      </c>
      <c r="S112" s="19"/>
    </row>
    <row r="113" spans="1:19">
      <c r="A113" s="19" t="s">
        <v>112</v>
      </c>
      <c r="B113" s="19" t="s">
        <v>823</v>
      </c>
      <c r="C113" s="19" t="s">
        <v>828</v>
      </c>
      <c r="D113" s="20">
        <v>0</v>
      </c>
      <c r="E113" s="19" t="s">
        <v>850</v>
      </c>
      <c r="F113" s="19" t="s">
        <v>874</v>
      </c>
      <c r="G113" s="19" t="s">
        <v>898</v>
      </c>
      <c r="H113" s="19" t="s">
        <v>917</v>
      </c>
      <c r="I113" s="19" t="s">
        <v>989</v>
      </c>
      <c r="J113" s="19" t="s">
        <v>1004</v>
      </c>
      <c r="K113" s="24">
        <v>45954</v>
      </c>
      <c r="L113" s="19"/>
      <c r="M113" s="19"/>
      <c r="N113" s="21">
        <v>0</v>
      </c>
      <c r="O113" s="23">
        <v>242.03</v>
      </c>
      <c r="P113" s="19" t="s">
        <v>1015</v>
      </c>
      <c r="Q113" s="20">
        <v>0</v>
      </c>
      <c r="R113" s="19" t="s">
        <v>1021</v>
      </c>
      <c r="S113" s="19"/>
    </row>
    <row r="114" spans="1:19">
      <c r="A114" s="19" t="s">
        <v>113</v>
      </c>
      <c r="B114" s="19" t="s">
        <v>825</v>
      </c>
      <c r="C114" s="19" t="s">
        <v>830</v>
      </c>
      <c r="D114" s="20">
        <v>1</v>
      </c>
      <c r="E114" s="19" t="s">
        <v>844</v>
      </c>
      <c r="F114" s="19" t="s">
        <v>868</v>
      </c>
      <c r="G114" s="19" t="s">
        <v>892</v>
      </c>
      <c r="H114" s="19" t="s">
        <v>932</v>
      </c>
      <c r="I114" s="19" t="s">
        <v>991</v>
      </c>
      <c r="J114" s="19" t="s">
        <v>1006</v>
      </c>
      <c r="K114" s="24">
        <v>45955</v>
      </c>
      <c r="L114" s="26">
        <v>45955.07430555556</v>
      </c>
      <c r="M114" s="26">
        <v>45955.24444444444</v>
      </c>
      <c r="N114" s="21">
        <v>4.08</v>
      </c>
      <c r="O114" s="23">
        <v>2336.57</v>
      </c>
      <c r="P114" s="19" t="s">
        <v>1014</v>
      </c>
      <c r="Q114" s="20">
        <v>0</v>
      </c>
      <c r="R114" s="19" t="s">
        <v>1021</v>
      </c>
      <c r="S114" s="19"/>
    </row>
    <row r="115" spans="1:19">
      <c r="A115" s="19" t="s">
        <v>114</v>
      </c>
      <c r="B115" s="19" t="s">
        <v>823</v>
      </c>
      <c r="C115" s="19" t="s">
        <v>828</v>
      </c>
      <c r="D115" s="20">
        <v>0</v>
      </c>
      <c r="E115" s="19" t="s">
        <v>835</v>
      </c>
      <c r="F115" s="19" t="s">
        <v>859</v>
      </c>
      <c r="G115" s="19" t="s">
        <v>883</v>
      </c>
      <c r="H115" s="19" t="s">
        <v>912</v>
      </c>
      <c r="I115" s="19" t="s">
        <v>989</v>
      </c>
      <c r="J115" s="19" t="s">
        <v>1004</v>
      </c>
      <c r="K115" s="24">
        <v>45955</v>
      </c>
      <c r="L115" s="19"/>
      <c r="M115" s="19"/>
      <c r="N115" s="21">
        <v>0</v>
      </c>
      <c r="O115" s="23">
        <v>475.56</v>
      </c>
      <c r="P115" s="19" t="s">
        <v>1015</v>
      </c>
      <c r="Q115" s="20">
        <v>0</v>
      </c>
      <c r="R115" s="19" t="s">
        <v>1022</v>
      </c>
      <c r="S115" s="19"/>
    </row>
    <row r="116" spans="1:19">
      <c r="A116" s="19" t="s">
        <v>115</v>
      </c>
      <c r="B116" s="19" t="s">
        <v>823</v>
      </c>
      <c r="C116" s="19" t="s">
        <v>828</v>
      </c>
      <c r="D116" s="20">
        <v>0</v>
      </c>
      <c r="E116" s="19" t="s">
        <v>853</v>
      </c>
      <c r="F116" s="19" t="s">
        <v>877</v>
      </c>
      <c r="G116" s="19" t="s">
        <v>901</v>
      </c>
      <c r="H116" s="19" t="s">
        <v>911</v>
      </c>
      <c r="I116" s="19" t="s">
        <v>989</v>
      </c>
      <c r="J116" s="19" t="s">
        <v>1004</v>
      </c>
      <c r="K116" s="24">
        <v>45955</v>
      </c>
      <c r="L116" s="19"/>
      <c r="M116" s="19"/>
      <c r="N116" s="21">
        <v>0</v>
      </c>
      <c r="O116" s="23">
        <v>300.94</v>
      </c>
      <c r="P116" s="19" t="s">
        <v>1015</v>
      </c>
      <c r="Q116" s="20">
        <v>0</v>
      </c>
      <c r="R116" s="19" t="s">
        <v>1023</v>
      </c>
      <c r="S116" s="19"/>
    </row>
    <row r="117" spans="1:19">
      <c r="A117" s="19" t="s">
        <v>116</v>
      </c>
      <c r="B117" s="19" t="s">
        <v>823</v>
      </c>
      <c r="C117" s="19" t="s">
        <v>828</v>
      </c>
      <c r="D117" s="20">
        <v>0</v>
      </c>
      <c r="E117" s="19" t="s">
        <v>839</v>
      </c>
      <c r="F117" s="19" t="s">
        <v>863</v>
      </c>
      <c r="G117" s="19" t="s">
        <v>887</v>
      </c>
      <c r="H117" s="19" t="s">
        <v>911</v>
      </c>
      <c r="I117" s="19" t="s">
        <v>989</v>
      </c>
      <c r="J117" s="19" t="s">
        <v>1004</v>
      </c>
      <c r="K117" s="24">
        <v>45956</v>
      </c>
      <c r="L117" s="19"/>
      <c r="M117" s="19"/>
      <c r="N117" s="21">
        <v>0</v>
      </c>
      <c r="O117" s="23">
        <v>450.16</v>
      </c>
      <c r="P117" s="19" t="s">
        <v>1014</v>
      </c>
      <c r="Q117" s="20">
        <v>0</v>
      </c>
      <c r="R117" s="19" t="s">
        <v>1021</v>
      </c>
      <c r="S117" s="19"/>
    </row>
    <row r="118" spans="1:19">
      <c r="A118" s="19" t="s">
        <v>117</v>
      </c>
      <c r="B118" s="19" t="s">
        <v>824</v>
      </c>
      <c r="C118" s="19" t="s">
        <v>829</v>
      </c>
      <c r="D118" s="20">
        <v>0</v>
      </c>
      <c r="E118" s="19" t="s">
        <v>842</v>
      </c>
      <c r="F118" s="19" t="s">
        <v>866</v>
      </c>
      <c r="G118" s="19" t="s">
        <v>890</v>
      </c>
      <c r="H118" s="19" t="s">
        <v>925</v>
      </c>
      <c r="I118" s="19" t="s">
        <v>989</v>
      </c>
      <c r="J118" s="19" t="s">
        <v>1004</v>
      </c>
      <c r="K118" s="24">
        <v>45956</v>
      </c>
      <c r="L118" s="19"/>
      <c r="M118" s="19"/>
      <c r="N118" s="21">
        <v>0</v>
      </c>
      <c r="O118" s="23">
        <v>320</v>
      </c>
      <c r="P118" s="19" t="s">
        <v>1014</v>
      </c>
      <c r="Q118" s="20">
        <v>0</v>
      </c>
      <c r="R118" s="19" t="s">
        <v>1023</v>
      </c>
      <c r="S118" s="19"/>
    </row>
    <row r="119" spans="1:19">
      <c r="A119" s="19" t="s">
        <v>118</v>
      </c>
      <c r="B119" s="19" t="s">
        <v>823</v>
      </c>
      <c r="C119" s="19" t="s">
        <v>828</v>
      </c>
      <c r="D119" s="20">
        <v>0</v>
      </c>
      <c r="E119" s="19" t="s">
        <v>852</v>
      </c>
      <c r="F119" s="19" t="s">
        <v>876</v>
      </c>
      <c r="G119" s="19" t="s">
        <v>900</v>
      </c>
      <c r="H119" s="19" t="s">
        <v>907</v>
      </c>
      <c r="I119" s="19" t="s">
        <v>989</v>
      </c>
      <c r="J119" s="19" t="s">
        <v>1004</v>
      </c>
      <c r="K119" s="24">
        <v>45957</v>
      </c>
      <c r="L119" s="19"/>
      <c r="M119" s="19"/>
      <c r="N119" s="21">
        <v>0</v>
      </c>
      <c r="O119" s="23">
        <v>753.04</v>
      </c>
      <c r="P119" s="19" t="s">
        <v>1015</v>
      </c>
      <c r="Q119" s="20">
        <v>0</v>
      </c>
      <c r="R119" s="19" t="s">
        <v>1021</v>
      </c>
      <c r="S119" s="19"/>
    </row>
    <row r="120" spans="1:19">
      <c r="A120" s="19" t="s">
        <v>119</v>
      </c>
      <c r="B120" s="19" t="s">
        <v>825</v>
      </c>
      <c r="C120" s="19" t="s">
        <v>830</v>
      </c>
      <c r="D120" s="20">
        <v>1</v>
      </c>
      <c r="E120" s="19" t="s">
        <v>839</v>
      </c>
      <c r="F120" s="19" t="s">
        <v>863</v>
      </c>
      <c r="G120" s="19" t="s">
        <v>887</v>
      </c>
      <c r="H120" s="19" t="s">
        <v>933</v>
      </c>
      <c r="I120" s="19" t="s">
        <v>999</v>
      </c>
      <c r="J120" s="19" t="s">
        <v>1006</v>
      </c>
      <c r="K120" s="24">
        <v>45958</v>
      </c>
      <c r="L120" s="26">
        <v>45958.37083333333</v>
      </c>
      <c r="M120" s="26">
        <v>45958.62083333333</v>
      </c>
      <c r="N120" s="21">
        <v>0</v>
      </c>
      <c r="O120" s="23">
        <v>8820.43</v>
      </c>
      <c r="P120" s="19" t="s">
        <v>1015</v>
      </c>
      <c r="Q120" s="20">
        <v>0</v>
      </c>
      <c r="R120" s="19" t="s">
        <v>1021</v>
      </c>
      <c r="S120" s="19"/>
    </row>
    <row r="121" spans="1:19">
      <c r="A121" s="19" t="s">
        <v>120</v>
      </c>
      <c r="B121" s="19" t="s">
        <v>823</v>
      </c>
      <c r="C121" s="19" t="s">
        <v>828</v>
      </c>
      <c r="D121" s="20">
        <v>0</v>
      </c>
      <c r="E121" s="19" t="s">
        <v>848</v>
      </c>
      <c r="F121" s="19" t="s">
        <v>872</v>
      </c>
      <c r="G121" s="19" t="s">
        <v>896</v>
      </c>
      <c r="H121" s="19" t="s">
        <v>909</v>
      </c>
      <c r="I121" s="19" t="s">
        <v>989</v>
      </c>
      <c r="J121" s="19" t="s">
        <v>1004</v>
      </c>
      <c r="K121" s="24">
        <v>45959</v>
      </c>
      <c r="L121" s="19"/>
      <c r="M121" s="19"/>
      <c r="N121" s="21">
        <v>0</v>
      </c>
      <c r="O121" s="23">
        <v>1283.83</v>
      </c>
      <c r="P121" s="19" t="s">
        <v>1015</v>
      </c>
      <c r="Q121" s="20">
        <v>0</v>
      </c>
      <c r="R121" s="19" t="s">
        <v>1023</v>
      </c>
      <c r="S121" s="19"/>
    </row>
    <row r="122" spans="1:19">
      <c r="A122" s="19" t="s">
        <v>121</v>
      </c>
      <c r="B122" s="19" t="s">
        <v>824</v>
      </c>
      <c r="C122" s="19" t="s">
        <v>829</v>
      </c>
      <c r="D122" s="20">
        <v>0</v>
      </c>
      <c r="E122" s="19" t="s">
        <v>841</v>
      </c>
      <c r="F122" s="19" t="s">
        <v>865</v>
      </c>
      <c r="G122" s="19" t="s">
        <v>889</v>
      </c>
      <c r="H122" s="19" t="s">
        <v>914</v>
      </c>
      <c r="I122" s="19" t="s">
        <v>989</v>
      </c>
      <c r="J122" s="19" t="s">
        <v>1004</v>
      </c>
      <c r="K122" s="24">
        <v>45959</v>
      </c>
      <c r="L122" s="19"/>
      <c r="M122" s="19"/>
      <c r="N122" s="21">
        <v>0</v>
      </c>
      <c r="O122" s="23">
        <v>480</v>
      </c>
      <c r="P122" s="19" t="s">
        <v>1014</v>
      </c>
      <c r="Q122" s="20">
        <v>0</v>
      </c>
      <c r="R122" s="19" t="s">
        <v>1023</v>
      </c>
      <c r="S122" s="19"/>
    </row>
    <row r="123" spans="1:19">
      <c r="A123" s="19" t="s">
        <v>122</v>
      </c>
      <c r="B123" s="19" t="s">
        <v>825</v>
      </c>
      <c r="C123" s="19" t="s">
        <v>830</v>
      </c>
      <c r="D123" s="20">
        <v>1</v>
      </c>
      <c r="E123" s="19" t="s">
        <v>837</v>
      </c>
      <c r="F123" s="19" t="s">
        <v>861</v>
      </c>
      <c r="G123" s="19" t="s">
        <v>885</v>
      </c>
      <c r="H123" s="19" t="s">
        <v>934</v>
      </c>
      <c r="I123" s="19" t="s">
        <v>993</v>
      </c>
      <c r="J123" s="19" t="s">
        <v>1006</v>
      </c>
      <c r="K123" s="24">
        <v>45960</v>
      </c>
      <c r="L123" s="26">
        <v>45960.02083333334</v>
      </c>
      <c r="M123" s="26">
        <v>45960.14166666667</v>
      </c>
      <c r="N123" s="21">
        <v>0</v>
      </c>
      <c r="O123" s="23">
        <v>6237.4</v>
      </c>
      <c r="P123" s="19" t="s">
        <v>1015</v>
      </c>
      <c r="Q123" s="20">
        <v>0</v>
      </c>
      <c r="R123" s="19" t="s">
        <v>1023</v>
      </c>
      <c r="S123" s="19"/>
    </row>
    <row r="124" spans="1:19">
      <c r="A124" s="19" t="s">
        <v>123</v>
      </c>
      <c r="B124" s="19" t="s">
        <v>825</v>
      </c>
      <c r="C124" s="19" t="s">
        <v>830</v>
      </c>
      <c r="D124" s="20">
        <v>1</v>
      </c>
      <c r="E124" s="19" t="s">
        <v>852</v>
      </c>
      <c r="F124" s="19" t="s">
        <v>876</v>
      </c>
      <c r="G124" s="19" t="s">
        <v>900</v>
      </c>
      <c r="H124" s="19" t="s">
        <v>935</v>
      </c>
      <c r="I124" s="19" t="s">
        <v>991</v>
      </c>
      <c r="J124" s="19" t="s">
        <v>1006</v>
      </c>
      <c r="K124" s="24">
        <v>45960</v>
      </c>
      <c r="L124" s="26">
        <v>45960.85486111111</v>
      </c>
      <c r="M124" s="26">
        <v>45961.08819444444</v>
      </c>
      <c r="N124" s="21">
        <v>5.6</v>
      </c>
      <c r="O124" s="23">
        <v>6672.01</v>
      </c>
      <c r="P124" s="19" t="s">
        <v>1014</v>
      </c>
      <c r="Q124" s="20">
        <v>0</v>
      </c>
      <c r="R124" s="19" t="s">
        <v>1022</v>
      </c>
      <c r="S124" s="19"/>
    </row>
    <row r="125" spans="1:19">
      <c r="A125" s="19" t="s">
        <v>124</v>
      </c>
      <c r="B125" s="19" t="s">
        <v>823</v>
      </c>
      <c r="C125" s="19" t="s">
        <v>828</v>
      </c>
      <c r="D125" s="20">
        <v>0</v>
      </c>
      <c r="E125" s="19" t="s">
        <v>840</v>
      </c>
      <c r="F125" s="19" t="s">
        <v>864</v>
      </c>
      <c r="G125" s="19" t="s">
        <v>888</v>
      </c>
      <c r="H125" s="19" t="s">
        <v>912</v>
      </c>
      <c r="I125" s="19" t="s">
        <v>989</v>
      </c>
      <c r="J125" s="19" t="s">
        <v>1004</v>
      </c>
      <c r="K125" s="24">
        <v>45961</v>
      </c>
      <c r="L125" s="19"/>
      <c r="M125" s="19"/>
      <c r="N125" s="21">
        <v>0</v>
      </c>
      <c r="O125" s="23">
        <v>724.54</v>
      </c>
      <c r="P125" s="19" t="s">
        <v>1014</v>
      </c>
      <c r="Q125" s="20">
        <v>0</v>
      </c>
      <c r="R125" s="19" t="s">
        <v>1023</v>
      </c>
      <c r="S125" s="19"/>
    </row>
    <row r="126" spans="1:19">
      <c r="A126" s="19" t="s">
        <v>125</v>
      </c>
      <c r="B126" s="19" t="s">
        <v>823</v>
      </c>
      <c r="C126" s="19" t="s">
        <v>828</v>
      </c>
      <c r="D126" s="20">
        <v>0</v>
      </c>
      <c r="E126" s="19" t="s">
        <v>851</v>
      </c>
      <c r="F126" s="19" t="s">
        <v>875</v>
      </c>
      <c r="G126" s="19" t="s">
        <v>899</v>
      </c>
      <c r="H126" s="19" t="s">
        <v>909</v>
      </c>
      <c r="I126" s="19" t="s">
        <v>989</v>
      </c>
      <c r="J126" s="19" t="s">
        <v>1004</v>
      </c>
      <c r="K126" s="24">
        <v>45961</v>
      </c>
      <c r="L126" s="19"/>
      <c r="M126" s="19"/>
      <c r="N126" s="21">
        <v>0</v>
      </c>
      <c r="O126" s="23">
        <v>384.4</v>
      </c>
      <c r="P126" s="19" t="s">
        <v>1015</v>
      </c>
      <c r="Q126" s="20">
        <v>0</v>
      </c>
      <c r="R126" s="19" t="s">
        <v>1022</v>
      </c>
      <c r="S126" s="19"/>
    </row>
    <row r="127" spans="1:19">
      <c r="A127" s="19" t="s">
        <v>126</v>
      </c>
      <c r="B127" s="19" t="s">
        <v>823</v>
      </c>
      <c r="C127" s="19" t="s">
        <v>828</v>
      </c>
      <c r="D127" s="20">
        <v>0</v>
      </c>
      <c r="E127" s="19" t="s">
        <v>842</v>
      </c>
      <c r="F127" s="19" t="s">
        <v>866</v>
      </c>
      <c r="G127" s="19" t="s">
        <v>890</v>
      </c>
      <c r="H127" s="19" t="s">
        <v>906</v>
      </c>
      <c r="I127" s="19" t="s">
        <v>989</v>
      </c>
      <c r="J127" s="19" t="s">
        <v>1004</v>
      </c>
      <c r="K127" s="24">
        <v>45961</v>
      </c>
      <c r="L127" s="19"/>
      <c r="M127" s="19"/>
      <c r="N127" s="21">
        <v>0</v>
      </c>
      <c r="O127" s="23">
        <v>1068.28</v>
      </c>
      <c r="P127" s="19" t="s">
        <v>1014</v>
      </c>
      <c r="Q127" s="20">
        <v>0</v>
      </c>
      <c r="R127" s="19" t="s">
        <v>1021</v>
      </c>
      <c r="S127" s="19"/>
    </row>
    <row r="128" spans="1:19">
      <c r="A128" s="19" t="s">
        <v>127</v>
      </c>
      <c r="B128" s="19" t="s">
        <v>823</v>
      </c>
      <c r="C128" s="19" t="s">
        <v>828</v>
      </c>
      <c r="D128" s="20">
        <v>0</v>
      </c>
      <c r="E128" s="19" t="s">
        <v>849</v>
      </c>
      <c r="F128" s="19" t="s">
        <v>873</v>
      </c>
      <c r="G128" s="19" t="s">
        <v>897</v>
      </c>
      <c r="H128" s="19" t="s">
        <v>924</v>
      </c>
      <c r="I128" s="19" t="s">
        <v>989</v>
      </c>
      <c r="J128" s="19" t="s">
        <v>1004</v>
      </c>
      <c r="K128" s="24">
        <v>45961</v>
      </c>
      <c r="L128" s="19"/>
      <c r="M128" s="19"/>
      <c r="N128" s="21">
        <v>0</v>
      </c>
      <c r="O128" s="23">
        <v>920.09</v>
      </c>
      <c r="P128" s="19" t="s">
        <v>1015</v>
      </c>
      <c r="Q128" s="20">
        <v>0</v>
      </c>
      <c r="R128" s="19" t="s">
        <v>1021</v>
      </c>
      <c r="S128" s="19"/>
    </row>
    <row r="129" spans="1:19">
      <c r="A129" s="19" t="s">
        <v>128</v>
      </c>
      <c r="B129" s="19" t="s">
        <v>824</v>
      </c>
      <c r="C129" s="19" t="s">
        <v>829</v>
      </c>
      <c r="D129" s="20">
        <v>0</v>
      </c>
      <c r="E129" s="19" t="s">
        <v>836</v>
      </c>
      <c r="F129" s="19" t="s">
        <v>860</v>
      </c>
      <c r="G129" s="19" t="s">
        <v>884</v>
      </c>
      <c r="H129" s="19" t="s">
        <v>914</v>
      </c>
      <c r="I129" s="19" t="s">
        <v>989</v>
      </c>
      <c r="J129" s="19" t="s">
        <v>1004</v>
      </c>
      <c r="K129" s="24">
        <v>45961</v>
      </c>
      <c r="L129" s="19"/>
      <c r="M129" s="19"/>
      <c r="N129" s="21">
        <v>0</v>
      </c>
      <c r="O129" s="23">
        <v>120</v>
      </c>
      <c r="P129" s="19" t="s">
        <v>1015</v>
      </c>
      <c r="Q129" s="20">
        <v>0</v>
      </c>
      <c r="R129" s="19" t="s">
        <v>1023</v>
      </c>
      <c r="S129" s="19"/>
    </row>
    <row r="130" spans="1:19">
      <c r="A130" s="19" t="s">
        <v>129</v>
      </c>
      <c r="B130" s="19" t="s">
        <v>824</v>
      </c>
      <c r="C130" s="19" t="s">
        <v>829</v>
      </c>
      <c r="D130" s="20">
        <v>0</v>
      </c>
      <c r="E130" s="19" t="s">
        <v>838</v>
      </c>
      <c r="F130" s="19" t="s">
        <v>862</v>
      </c>
      <c r="G130" s="19" t="s">
        <v>886</v>
      </c>
      <c r="H130" s="19" t="s">
        <v>925</v>
      </c>
      <c r="I130" s="19" t="s">
        <v>989</v>
      </c>
      <c r="J130" s="19" t="s">
        <v>1004</v>
      </c>
      <c r="K130" s="24">
        <v>45962</v>
      </c>
      <c r="L130" s="19"/>
      <c r="M130" s="19"/>
      <c r="N130" s="21">
        <v>0</v>
      </c>
      <c r="O130" s="23">
        <v>80</v>
      </c>
      <c r="P130" s="19" t="s">
        <v>1014</v>
      </c>
      <c r="Q130" s="20">
        <v>0</v>
      </c>
      <c r="R130" s="19" t="s">
        <v>1022</v>
      </c>
      <c r="S130" s="19"/>
    </row>
    <row r="131" spans="1:19">
      <c r="A131" s="19" t="s">
        <v>130</v>
      </c>
      <c r="B131" s="19" t="s">
        <v>824</v>
      </c>
      <c r="C131" s="19" t="s">
        <v>829</v>
      </c>
      <c r="D131" s="20">
        <v>0</v>
      </c>
      <c r="E131" s="19" t="s">
        <v>839</v>
      </c>
      <c r="F131" s="19" t="s">
        <v>863</v>
      </c>
      <c r="G131" s="19" t="s">
        <v>887</v>
      </c>
      <c r="H131" s="19" t="s">
        <v>914</v>
      </c>
      <c r="I131" s="19" t="s">
        <v>989</v>
      </c>
      <c r="J131" s="19" t="s">
        <v>1004</v>
      </c>
      <c r="K131" s="24">
        <v>45962</v>
      </c>
      <c r="L131" s="19"/>
      <c r="M131" s="19"/>
      <c r="N131" s="21">
        <v>0</v>
      </c>
      <c r="O131" s="23">
        <v>160</v>
      </c>
      <c r="P131" s="19" t="s">
        <v>1014</v>
      </c>
      <c r="Q131" s="20">
        <v>0</v>
      </c>
      <c r="R131" s="19" t="s">
        <v>1023</v>
      </c>
      <c r="S131" s="19"/>
    </row>
    <row r="132" spans="1:19">
      <c r="A132" s="19" t="s">
        <v>131</v>
      </c>
      <c r="B132" s="19" t="s">
        <v>824</v>
      </c>
      <c r="C132" s="19" t="s">
        <v>829</v>
      </c>
      <c r="D132" s="20">
        <v>0</v>
      </c>
      <c r="E132" s="19" t="s">
        <v>855</v>
      </c>
      <c r="F132" s="19" t="s">
        <v>879</v>
      </c>
      <c r="G132" s="19" t="s">
        <v>903</v>
      </c>
      <c r="H132" s="19" t="s">
        <v>925</v>
      </c>
      <c r="I132" s="19" t="s">
        <v>989</v>
      </c>
      <c r="J132" s="19" t="s">
        <v>1004</v>
      </c>
      <c r="K132" s="24">
        <v>45962</v>
      </c>
      <c r="L132" s="19"/>
      <c r="M132" s="19"/>
      <c r="N132" s="21">
        <v>0</v>
      </c>
      <c r="O132" s="23">
        <v>100</v>
      </c>
      <c r="P132" s="19" t="s">
        <v>1014</v>
      </c>
      <c r="Q132" s="20">
        <v>0</v>
      </c>
      <c r="R132" s="19" t="s">
        <v>1021</v>
      </c>
      <c r="S132" s="19"/>
    </row>
    <row r="133" spans="1:19">
      <c r="A133" s="19" t="s">
        <v>132</v>
      </c>
      <c r="B133" s="19" t="s">
        <v>824</v>
      </c>
      <c r="C133" s="19" t="s">
        <v>829</v>
      </c>
      <c r="D133" s="20">
        <v>0</v>
      </c>
      <c r="E133" s="19" t="s">
        <v>840</v>
      </c>
      <c r="F133" s="19" t="s">
        <v>864</v>
      </c>
      <c r="G133" s="19" t="s">
        <v>888</v>
      </c>
      <c r="H133" s="19" t="s">
        <v>910</v>
      </c>
      <c r="I133" s="19" t="s">
        <v>989</v>
      </c>
      <c r="J133" s="19" t="s">
        <v>1004</v>
      </c>
      <c r="K133" s="24">
        <v>45962</v>
      </c>
      <c r="L133" s="19"/>
      <c r="M133" s="19"/>
      <c r="N133" s="21">
        <v>0</v>
      </c>
      <c r="O133" s="23">
        <v>240</v>
      </c>
      <c r="P133" s="19" t="s">
        <v>1014</v>
      </c>
      <c r="Q133" s="20">
        <v>0</v>
      </c>
      <c r="R133" s="19" t="s">
        <v>1023</v>
      </c>
      <c r="S133" s="19"/>
    </row>
    <row r="134" spans="1:19">
      <c r="A134" s="19" t="s">
        <v>133</v>
      </c>
      <c r="B134" s="19" t="s">
        <v>826</v>
      </c>
      <c r="C134" s="19" t="s">
        <v>831</v>
      </c>
      <c r="D134" s="20">
        <v>1</v>
      </c>
      <c r="E134" s="19" t="s">
        <v>851</v>
      </c>
      <c r="F134" s="19" t="s">
        <v>875</v>
      </c>
      <c r="G134" s="19" t="s">
        <v>899</v>
      </c>
      <c r="H134" s="19" t="s">
        <v>936</v>
      </c>
      <c r="I134" s="19" t="s">
        <v>994</v>
      </c>
      <c r="J134" s="19" t="s">
        <v>1005</v>
      </c>
      <c r="K134" s="24">
        <v>45963</v>
      </c>
      <c r="L134" s="26">
        <v>45963.28472222222</v>
      </c>
      <c r="M134" s="26">
        <v>45963.50972222222</v>
      </c>
      <c r="N134" s="21">
        <v>5.4</v>
      </c>
      <c r="O134" s="23">
        <v>4874.5</v>
      </c>
      <c r="P134" s="19" t="s">
        <v>1014</v>
      </c>
      <c r="Q134" s="20">
        <v>0</v>
      </c>
      <c r="R134" s="19" t="s">
        <v>1022</v>
      </c>
      <c r="S134" s="19" t="s">
        <v>1031</v>
      </c>
    </row>
    <row r="135" spans="1:19">
      <c r="A135" s="19" t="s">
        <v>134</v>
      </c>
      <c r="B135" s="19" t="s">
        <v>824</v>
      </c>
      <c r="C135" s="19" t="s">
        <v>829</v>
      </c>
      <c r="D135" s="20">
        <v>0</v>
      </c>
      <c r="E135" s="19" t="s">
        <v>835</v>
      </c>
      <c r="F135" s="19" t="s">
        <v>859</v>
      </c>
      <c r="G135" s="19" t="s">
        <v>883</v>
      </c>
      <c r="H135" s="19" t="s">
        <v>925</v>
      </c>
      <c r="I135" s="19" t="s">
        <v>989</v>
      </c>
      <c r="J135" s="19" t="s">
        <v>1004</v>
      </c>
      <c r="K135" s="24">
        <v>45963</v>
      </c>
      <c r="L135" s="19"/>
      <c r="M135" s="19"/>
      <c r="N135" s="21">
        <v>0</v>
      </c>
      <c r="O135" s="23">
        <v>152</v>
      </c>
      <c r="P135" s="19" t="s">
        <v>1015</v>
      </c>
      <c r="Q135" s="20">
        <v>0</v>
      </c>
      <c r="R135" s="19" t="s">
        <v>1023</v>
      </c>
      <c r="S135" s="19"/>
    </row>
    <row r="136" spans="1:19">
      <c r="A136" s="19" t="s">
        <v>135</v>
      </c>
      <c r="B136" s="19" t="s">
        <v>823</v>
      </c>
      <c r="C136" s="19" t="s">
        <v>828</v>
      </c>
      <c r="D136" s="20">
        <v>0</v>
      </c>
      <c r="E136" s="19" t="s">
        <v>856</v>
      </c>
      <c r="F136" s="19" t="s">
        <v>880</v>
      </c>
      <c r="G136" s="19" t="s">
        <v>904</v>
      </c>
      <c r="H136" s="19" t="s">
        <v>911</v>
      </c>
      <c r="I136" s="19" t="s">
        <v>989</v>
      </c>
      <c r="J136" s="19" t="s">
        <v>1004</v>
      </c>
      <c r="K136" s="24">
        <v>45964</v>
      </c>
      <c r="L136" s="19"/>
      <c r="M136" s="19"/>
      <c r="N136" s="21">
        <v>0</v>
      </c>
      <c r="O136" s="23">
        <v>184.83</v>
      </c>
      <c r="P136" s="19" t="s">
        <v>1014</v>
      </c>
      <c r="Q136" s="20">
        <v>0</v>
      </c>
      <c r="R136" s="19" t="s">
        <v>1022</v>
      </c>
      <c r="S136" s="19"/>
    </row>
    <row r="137" spans="1:19">
      <c r="A137" s="19" t="s">
        <v>136</v>
      </c>
      <c r="B137" s="19" t="s">
        <v>824</v>
      </c>
      <c r="C137" s="19" t="s">
        <v>829</v>
      </c>
      <c r="D137" s="20">
        <v>0</v>
      </c>
      <c r="E137" s="19" t="s">
        <v>837</v>
      </c>
      <c r="F137" s="19" t="s">
        <v>861</v>
      </c>
      <c r="G137" s="19" t="s">
        <v>885</v>
      </c>
      <c r="H137" s="19" t="s">
        <v>910</v>
      </c>
      <c r="I137" s="19" t="s">
        <v>989</v>
      </c>
      <c r="J137" s="19" t="s">
        <v>1004</v>
      </c>
      <c r="K137" s="24">
        <v>45965</v>
      </c>
      <c r="L137" s="19"/>
      <c r="M137" s="19"/>
      <c r="N137" s="21">
        <v>0</v>
      </c>
      <c r="O137" s="23">
        <v>260</v>
      </c>
      <c r="P137" s="19" t="s">
        <v>1015</v>
      </c>
      <c r="Q137" s="20">
        <v>0</v>
      </c>
      <c r="R137" s="19" t="s">
        <v>1023</v>
      </c>
      <c r="S137" s="19"/>
    </row>
    <row r="138" spans="1:19">
      <c r="A138" s="19" t="s">
        <v>137</v>
      </c>
      <c r="B138" s="19" t="s">
        <v>825</v>
      </c>
      <c r="C138" s="19" t="s">
        <v>830</v>
      </c>
      <c r="D138" s="20">
        <v>1</v>
      </c>
      <c r="E138" s="19" t="s">
        <v>843</v>
      </c>
      <c r="F138" s="19" t="s">
        <v>867</v>
      </c>
      <c r="G138" s="19" t="s">
        <v>891</v>
      </c>
      <c r="H138" s="19" t="s">
        <v>937</v>
      </c>
      <c r="I138" s="19" t="s">
        <v>1000</v>
      </c>
      <c r="J138" s="19" t="s">
        <v>1005</v>
      </c>
      <c r="K138" s="24">
        <v>45965</v>
      </c>
      <c r="L138" s="26">
        <v>45965.89097222222</v>
      </c>
      <c r="M138" s="26">
        <v>45966.02847222222</v>
      </c>
      <c r="N138" s="21">
        <v>0</v>
      </c>
      <c r="O138" s="23">
        <v>1836.02</v>
      </c>
      <c r="P138" s="19" t="s">
        <v>1014</v>
      </c>
      <c r="Q138" s="20">
        <v>0</v>
      </c>
      <c r="R138" s="19" t="s">
        <v>1021</v>
      </c>
      <c r="S138" s="19" t="s">
        <v>1032</v>
      </c>
    </row>
    <row r="139" spans="1:19">
      <c r="A139" s="19" t="s">
        <v>138</v>
      </c>
      <c r="B139" s="19" t="s">
        <v>824</v>
      </c>
      <c r="C139" s="19" t="s">
        <v>829</v>
      </c>
      <c r="D139" s="20">
        <v>0</v>
      </c>
      <c r="E139" s="19" t="s">
        <v>845</v>
      </c>
      <c r="F139" s="19" t="s">
        <v>869</v>
      </c>
      <c r="G139" s="19" t="s">
        <v>893</v>
      </c>
      <c r="H139" s="19" t="s">
        <v>910</v>
      </c>
      <c r="I139" s="19" t="s">
        <v>989</v>
      </c>
      <c r="J139" s="19" t="s">
        <v>1004</v>
      </c>
      <c r="K139" s="24">
        <v>45966</v>
      </c>
      <c r="L139" s="19"/>
      <c r="M139" s="19"/>
      <c r="N139" s="21">
        <v>0</v>
      </c>
      <c r="O139" s="23">
        <v>360</v>
      </c>
      <c r="P139" s="19" t="s">
        <v>1015</v>
      </c>
      <c r="Q139" s="20">
        <v>0</v>
      </c>
      <c r="R139" s="19" t="s">
        <v>1021</v>
      </c>
      <c r="S139" s="19"/>
    </row>
    <row r="140" spans="1:19">
      <c r="A140" s="19" t="s">
        <v>139</v>
      </c>
      <c r="B140" s="19" t="s">
        <v>824</v>
      </c>
      <c r="C140" s="19" t="s">
        <v>829</v>
      </c>
      <c r="D140" s="20">
        <v>0</v>
      </c>
      <c r="E140" s="19" t="s">
        <v>847</v>
      </c>
      <c r="F140" s="19" t="s">
        <v>871</v>
      </c>
      <c r="G140" s="19" t="s">
        <v>895</v>
      </c>
      <c r="H140" s="19" t="s">
        <v>910</v>
      </c>
      <c r="I140" s="19" t="s">
        <v>989</v>
      </c>
      <c r="J140" s="19" t="s">
        <v>1004</v>
      </c>
      <c r="K140" s="24">
        <v>45966</v>
      </c>
      <c r="L140" s="19"/>
      <c r="M140" s="19"/>
      <c r="N140" s="21">
        <v>0</v>
      </c>
      <c r="O140" s="23">
        <v>140</v>
      </c>
      <c r="P140" s="19" t="s">
        <v>1014</v>
      </c>
      <c r="Q140" s="20">
        <v>0</v>
      </c>
      <c r="R140" s="19" t="s">
        <v>1021</v>
      </c>
      <c r="S140" s="19"/>
    </row>
    <row r="141" spans="1:19">
      <c r="A141" s="19" t="s">
        <v>140</v>
      </c>
      <c r="B141" s="19" t="s">
        <v>825</v>
      </c>
      <c r="C141" s="19" t="s">
        <v>830</v>
      </c>
      <c r="D141" s="20">
        <v>1</v>
      </c>
      <c r="E141" s="19" t="s">
        <v>843</v>
      </c>
      <c r="F141" s="19" t="s">
        <v>867</v>
      </c>
      <c r="G141" s="19" t="s">
        <v>891</v>
      </c>
      <c r="H141" s="19" t="s">
        <v>938</v>
      </c>
      <c r="I141" s="19" t="s">
        <v>1000</v>
      </c>
      <c r="J141" s="19" t="s">
        <v>1005</v>
      </c>
      <c r="K141" s="24">
        <v>45967</v>
      </c>
      <c r="L141" s="26">
        <v>45967.24375</v>
      </c>
      <c r="M141" s="26">
        <v>45968.00625</v>
      </c>
      <c r="N141" s="21">
        <v>0</v>
      </c>
      <c r="O141" s="23">
        <v>3140.74</v>
      </c>
      <c r="P141" s="19" t="s">
        <v>1014</v>
      </c>
      <c r="Q141" s="20">
        <v>0</v>
      </c>
      <c r="R141" s="19" t="s">
        <v>1023</v>
      </c>
      <c r="S141" s="19" t="s">
        <v>1032</v>
      </c>
    </row>
    <row r="142" spans="1:19">
      <c r="A142" s="19" t="s">
        <v>141</v>
      </c>
      <c r="B142" s="19" t="s">
        <v>823</v>
      </c>
      <c r="C142" s="19" t="s">
        <v>828</v>
      </c>
      <c r="D142" s="20">
        <v>0</v>
      </c>
      <c r="E142" s="19" t="s">
        <v>845</v>
      </c>
      <c r="F142" s="19" t="s">
        <v>869</v>
      </c>
      <c r="G142" s="19" t="s">
        <v>893</v>
      </c>
      <c r="H142" s="19" t="s">
        <v>906</v>
      </c>
      <c r="I142" s="19" t="s">
        <v>989</v>
      </c>
      <c r="J142" s="19" t="s">
        <v>1004</v>
      </c>
      <c r="K142" s="24">
        <v>45967</v>
      </c>
      <c r="L142" s="19"/>
      <c r="M142" s="19"/>
      <c r="N142" s="21">
        <v>0</v>
      </c>
      <c r="O142" s="23">
        <v>787.11</v>
      </c>
      <c r="P142" s="19" t="s">
        <v>1014</v>
      </c>
      <c r="Q142" s="20">
        <v>0</v>
      </c>
      <c r="R142" s="19" t="s">
        <v>1021</v>
      </c>
      <c r="S142" s="19"/>
    </row>
    <row r="143" spans="1:19">
      <c r="A143" s="19" t="s">
        <v>142</v>
      </c>
      <c r="B143" s="19" t="s">
        <v>823</v>
      </c>
      <c r="C143" s="19" t="s">
        <v>828</v>
      </c>
      <c r="D143" s="20">
        <v>0</v>
      </c>
      <c r="E143" s="19" t="s">
        <v>841</v>
      </c>
      <c r="F143" s="19" t="s">
        <v>865</v>
      </c>
      <c r="G143" s="19" t="s">
        <v>889</v>
      </c>
      <c r="H143" s="19" t="s">
        <v>906</v>
      </c>
      <c r="I143" s="19" t="s">
        <v>989</v>
      </c>
      <c r="J143" s="19" t="s">
        <v>1004</v>
      </c>
      <c r="K143" s="24">
        <v>45967</v>
      </c>
      <c r="L143" s="19"/>
      <c r="M143" s="19"/>
      <c r="N143" s="21">
        <v>0</v>
      </c>
      <c r="O143" s="23">
        <v>1196.86</v>
      </c>
      <c r="P143" s="19" t="s">
        <v>1016</v>
      </c>
      <c r="Q143" s="20">
        <v>1</v>
      </c>
      <c r="R143" s="19" t="s">
        <v>1021</v>
      </c>
      <c r="S143" s="19"/>
    </row>
    <row r="144" spans="1:19">
      <c r="A144" s="19" t="s">
        <v>143</v>
      </c>
      <c r="B144" s="19" t="s">
        <v>823</v>
      </c>
      <c r="C144" s="19" t="s">
        <v>828</v>
      </c>
      <c r="D144" s="20">
        <v>0</v>
      </c>
      <c r="E144" s="19" t="s">
        <v>836</v>
      </c>
      <c r="F144" s="19" t="s">
        <v>860</v>
      </c>
      <c r="G144" s="19" t="s">
        <v>884</v>
      </c>
      <c r="H144" s="19" t="s">
        <v>907</v>
      </c>
      <c r="I144" s="19" t="s">
        <v>989</v>
      </c>
      <c r="J144" s="19" t="s">
        <v>1004</v>
      </c>
      <c r="K144" s="24">
        <v>45967</v>
      </c>
      <c r="L144" s="19"/>
      <c r="M144" s="19"/>
      <c r="N144" s="21">
        <v>0</v>
      </c>
      <c r="O144" s="23">
        <v>524.1900000000001</v>
      </c>
      <c r="P144" s="19" t="s">
        <v>1015</v>
      </c>
      <c r="Q144" s="20">
        <v>0</v>
      </c>
      <c r="R144" s="19" t="s">
        <v>1022</v>
      </c>
      <c r="S144" s="19"/>
    </row>
    <row r="145" spans="1:19">
      <c r="A145" s="19" t="s">
        <v>144</v>
      </c>
      <c r="B145" s="19" t="s">
        <v>824</v>
      </c>
      <c r="C145" s="19" t="s">
        <v>829</v>
      </c>
      <c r="D145" s="20">
        <v>0</v>
      </c>
      <c r="E145" s="19" t="s">
        <v>843</v>
      </c>
      <c r="F145" s="19" t="s">
        <v>867</v>
      </c>
      <c r="G145" s="19" t="s">
        <v>891</v>
      </c>
      <c r="H145" s="19" t="s">
        <v>910</v>
      </c>
      <c r="I145" s="19" t="s">
        <v>989</v>
      </c>
      <c r="J145" s="19" t="s">
        <v>1004</v>
      </c>
      <c r="K145" s="24">
        <v>45967</v>
      </c>
      <c r="L145" s="19"/>
      <c r="M145" s="19"/>
      <c r="N145" s="21">
        <v>0</v>
      </c>
      <c r="O145" s="23">
        <v>88</v>
      </c>
      <c r="P145" s="19" t="s">
        <v>1014</v>
      </c>
      <c r="Q145" s="20">
        <v>0</v>
      </c>
      <c r="R145" s="19" t="s">
        <v>1023</v>
      </c>
      <c r="S145" s="19"/>
    </row>
    <row r="146" spans="1:19">
      <c r="A146" s="19" t="s">
        <v>145</v>
      </c>
      <c r="B146" s="19" t="s">
        <v>823</v>
      </c>
      <c r="C146" s="19" t="s">
        <v>828</v>
      </c>
      <c r="D146" s="20">
        <v>0</v>
      </c>
      <c r="E146" s="19" t="s">
        <v>834</v>
      </c>
      <c r="F146" s="19" t="s">
        <v>858</v>
      </c>
      <c r="G146" s="19" t="s">
        <v>882</v>
      </c>
      <c r="H146" s="19" t="s">
        <v>924</v>
      </c>
      <c r="I146" s="19" t="s">
        <v>989</v>
      </c>
      <c r="J146" s="19" t="s">
        <v>1004</v>
      </c>
      <c r="K146" s="24">
        <v>45969</v>
      </c>
      <c r="L146" s="19"/>
      <c r="M146" s="19"/>
      <c r="N146" s="21">
        <v>0</v>
      </c>
      <c r="O146" s="23">
        <v>267.87</v>
      </c>
      <c r="P146" s="19" t="s">
        <v>1015</v>
      </c>
      <c r="Q146" s="20">
        <v>0</v>
      </c>
      <c r="R146" s="19" t="s">
        <v>1023</v>
      </c>
      <c r="S146" s="19"/>
    </row>
    <row r="147" spans="1:19">
      <c r="A147" s="19" t="s">
        <v>146</v>
      </c>
      <c r="B147" s="19" t="s">
        <v>823</v>
      </c>
      <c r="C147" s="19" t="s">
        <v>828</v>
      </c>
      <c r="D147" s="20">
        <v>0</v>
      </c>
      <c r="E147" s="19" t="s">
        <v>838</v>
      </c>
      <c r="F147" s="19" t="s">
        <v>862</v>
      </c>
      <c r="G147" s="19" t="s">
        <v>886</v>
      </c>
      <c r="H147" s="19" t="s">
        <v>911</v>
      </c>
      <c r="I147" s="19" t="s">
        <v>989</v>
      </c>
      <c r="J147" s="19" t="s">
        <v>1004</v>
      </c>
      <c r="K147" s="24">
        <v>45971</v>
      </c>
      <c r="L147" s="19"/>
      <c r="M147" s="19"/>
      <c r="N147" s="21">
        <v>0</v>
      </c>
      <c r="O147" s="23">
        <v>242.16</v>
      </c>
      <c r="P147" s="19" t="s">
        <v>1014</v>
      </c>
      <c r="Q147" s="20">
        <v>0</v>
      </c>
      <c r="R147" s="19" t="s">
        <v>1023</v>
      </c>
      <c r="S147" s="19"/>
    </row>
    <row r="148" spans="1:19">
      <c r="A148" s="19" t="s">
        <v>147</v>
      </c>
      <c r="B148" s="19" t="s">
        <v>823</v>
      </c>
      <c r="C148" s="19" t="s">
        <v>828</v>
      </c>
      <c r="D148" s="20">
        <v>0</v>
      </c>
      <c r="E148" s="19" t="s">
        <v>844</v>
      </c>
      <c r="F148" s="19" t="s">
        <v>868</v>
      </c>
      <c r="G148" s="19" t="s">
        <v>892</v>
      </c>
      <c r="H148" s="19" t="s">
        <v>909</v>
      </c>
      <c r="I148" s="19" t="s">
        <v>989</v>
      </c>
      <c r="J148" s="19" t="s">
        <v>1004</v>
      </c>
      <c r="K148" s="24">
        <v>45972</v>
      </c>
      <c r="L148" s="19"/>
      <c r="M148" s="19"/>
      <c r="N148" s="21">
        <v>0</v>
      </c>
      <c r="O148" s="23">
        <v>508.9</v>
      </c>
      <c r="P148" s="19" t="s">
        <v>1014</v>
      </c>
      <c r="Q148" s="20">
        <v>0</v>
      </c>
      <c r="R148" s="19" t="s">
        <v>1022</v>
      </c>
      <c r="S148" s="19"/>
    </row>
    <row r="149" spans="1:19">
      <c r="A149" s="19" t="s">
        <v>148</v>
      </c>
      <c r="B149" s="19" t="s">
        <v>823</v>
      </c>
      <c r="C149" s="19" t="s">
        <v>828</v>
      </c>
      <c r="D149" s="20">
        <v>0</v>
      </c>
      <c r="E149" s="19" t="s">
        <v>847</v>
      </c>
      <c r="F149" s="19" t="s">
        <v>871</v>
      </c>
      <c r="G149" s="19" t="s">
        <v>895</v>
      </c>
      <c r="H149" s="19" t="s">
        <v>906</v>
      </c>
      <c r="I149" s="19" t="s">
        <v>989</v>
      </c>
      <c r="J149" s="19" t="s">
        <v>1004</v>
      </c>
      <c r="K149" s="24">
        <v>45972</v>
      </c>
      <c r="L149" s="19"/>
      <c r="M149" s="19"/>
      <c r="N149" s="21">
        <v>0</v>
      </c>
      <c r="O149" s="23">
        <v>599.86</v>
      </c>
      <c r="P149" s="19" t="s">
        <v>1015</v>
      </c>
      <c r="Q149" s="20">
        <v>0</v>
      </c>
      <c r="R149" s="19" t="s">
        <v>1022</v>
      </c>
      <c r="S149" s="19"/>
    </row>
    <row r="150" spans="1:19">
      <c r="A150" s="19" t="s">
        <v>149</v>
      </c>
      <c r="B150" s="19" t="s">
        <v>823</v>
      </c>
      <c r="C150" s="19" t="s">
        <v>828</v>
      </c>
      <c r="D150" s="20">
        <v>0</v>
      </c>
      <c r="E150" s="19" t="s">
        <v>843</v>
      </c>
      <c r="F150" s="19" t="s">
        <v>867</v>
      </c>
      <c r="G150" s="19" t="s">
        <v>891</v>
      </c>
      <c r="H150" s="19" t="s">
        <v>909</v>
      </c>
      <c r="I150" s="19" t="s">
        <v>989</v>
      </c>
      <c r="J150" s="19" t="s">
        <v>1004</v>
      </c>
      <c r="K150" s="24">
        <v>45973</v>
      </c>
      <c r="L150" s="19"/>
      <c r="M150" s="19"/>
      <c r="N150" s="21">
        <v>0</v>
      </c>
      <c r="O150" s="23">
        <v>256.99</v>
      </c>
      <c r="P150" s="19" t="s">
        <v>1014</v>
      </c>
      <c r="Q150" s="20">
        <v>0</v>
      </c>
      <c r="R150" s="19" t="s">
        <v>1022</v>
      </c>
      <c r="S150" s="19"/>
    </row>
    <row r="151" spans="1:19">
      <c r="A151" s="19" t="s">
        <v>150</v>
      </c>
      <c r="B151" s="19" t="s">
        <v>823</v>
      </c>
      <c r="C151" s="19" t="s">
        <v>828</v>
      </c>
      <c r="D151" s="20">
        <v>0</v>
      </c>
      <c r="E151" s="19" t="s">
        <v>839</v>
      </c>
      <c r="F151" s="19" t="s">
        <v>863</v>
      </c>
      <c r="G151" s="19" t="s">
        <v>887</v>
      </c>
      <c r="H151" s="19" t="s">
        <v>912</v>
      </c>
      <c r="I151" s="19" t="s">
        <v>989</v>
      </c>
      <c r="J151" s="19" t="s">
        <v>1004</v>
      </c>
      <c r="K151" s="24">
        <v>45973</v>
      </c>
      <c r="L151" s="19"/>
      <c r="M151" s="19"/>
      <c r="N151" s="21">
        <v>0</v>
      </c>
      <c r="O151" s="23">
        <v>508.48</v>
      </c>
      <c r="P151" s="19" t="s">
        <v>1015</v>
      </c>
      <c r="Q151" s="20">
        <v>0</v>
      </c>
      <c r="R151" s="19" t="s">
        <v>1022</v>
      </c>
      <c r="S151" s="19"/>
    </row>
    <row r="152" spans="1:19">
      <c r="A152" s="19" t="s">
        <v>151</v>
      </c>
      <c r="B152" s="19" t="s">
        <v>823</v>
      </c>
      <c r="C152" s="19" t="s">
        <v>828</v>
      </c>
      <c r="D152" s="20">
        <v>0</v>
      </c>
      <c r="E152" s="19" t="s">
        <v>854</v>
      </c>
      <c r="F152" s="19" t="s">
        <v>878</v>
      </c>
      <c r="G152" s="19" t="s">
        <v>902</v>
      </c>
      <c r="H152" s="19" t="s">
        <v>906</v>
      </c>
      <c r="I152" s="19" t="s">
        <v>989</v>
      </c>
      <c r="J152" s="19" t="s">
        <v>1004</v>
      </c>
      <c r="K152" s="24">
        <v>45973</v>
      </c>
      <c r="L152" s="19"/>
      <c r="M152" s="19"/>
      <c r="N152" s="21">
        <v>0</v>
      </c>
      <c r="O152" s="23">
        <v>429.14</v>
      </c>
      <c r="P152" s="19" t="s">
        <v>1015</v>
      </c>
      <c r="Q152" s="20">
        <v>0</v>
      </c>
      <c r="R152" s="19" t="s">
        <v>1022</v>
      </c>
      <c r="S152" s="19"/>
    </row>
    <row r="153" spans="1:19">
      <c r="A153" s="19" t="s">
        <v>152</v>
      </c>
      <c r="B153" s="19" t="s">
        <v>823</v>
      </c>
      <c r="C153" s="19" t="s">
        <v>828</v>
      </c>
      <c r="D153" s="20">
        <v>0</v>
      </c>
      <c r="E153" s="19" t="s">
        <v>846</v>
      </c>
      <c r="F153" s="19" t="s">
        <v>870</v>
      </c>
      <c r="G153" s="19" t="s">
        <v>894</v>
      </c>
      <c r="H153" s="19" t="s">
        <v>907</v>
      </c>
      <c r="I153" s="19" t="s">
        <v>989</v>
      </c>
      <c r="J153" s="19" t="s">
        <v>1004</v>
      </c>
      <c r="K153" s="24">
        <v>45974</v>
      </c>
      <c r="L153" s="19"/>
      <c r="M153" s="19"/>
      <c r="N153" s="21">
        <v>0</v>
      </c>
      <c r="O153" s="23">
        <v>382.89</v>
      </c>
      <c r="P153" s="19" t="s">
        <v>1015</v>
      </c>
      <c r="Q153" s="20">
        <v>0</v>
      </c>
      <c r="R153" s="19" t="s">
        <v>1022</v>
      </c>
      <c r="S153" s="19"/>
    </row>
    <row r="154" spans="1:19">
      <c r="A154" s="19" t="s">
        <v>153</v>
      </c>
      <c r="B154" s="19" t="s">
        <v>824</v>
      </c>
      <c r="C154" s="19" t="s">
        <v>829</v>
      </c>
      <c r="D154" s="20">
        <v>0</v>
      </c>
      <c r="E154" s="19" t="s">
        <v>850</v>
      </c>
      <c r="F154" s="19" t="s">
        <v>874</v>
      </c>
      <c r="G154" s="19" t="s">
        <v>898</v>
      </c>
      <c r="H154" s="19" t="s">
        <v>910</v>
      </c>
      <c r="I154" s="19" t="s">
        <v>989</v>
      </c>
      <c r="J154" s="19" t="s">
        <v>1004</v>
      </c>
      <c r="K154" s="24">
        <v>45974</v>
      </c>
      <c r="L154" s="19"/>
      <c r="M154" s="19"/>
      <c r="N154" s="21">
        <v>0</v>
      </c>
      <c r="O154" s="23">
        <v>100</v>
      </c>
      <c r="P154" s="19" t="s">
        <v>1014</v>
      </c>
      <c r="Q154" s="20">
        <v>0</v>
      </c>
      <c r="R154" s="19" t="s">
        <v>1022</v>
      </c>
      <c r="S154" s="19"/>
    </row>
    <row r="155" spans="1:19">
      <c r="A155" s="19" t="s">
        <v>154</v>
      </c>
      <c r="B155" s="19" t="s">
        <v>825</v>
      </c>
      <c r="C155" s="19" t="s">
        <v>830</v>
      </c>
      <c r="D155" s="20">
        <v>1</v>
      </c>
      <c r="E155" s="19" t="s">
        <v>843</v>
      </c>
      <c r="F155" s="19" t="s">
        <v>867</v>
      </c>
      <c r="G155" s="19" t="s">
        <v>891</v>
      </c>
      <c r="H155" s="19" t="s">
        <v>939</v>
      </c>
      <c r="I155" s="19" t="s">
        <v>993</v>
      </c>
      <c r="J155" s="19" t="s">
        <v>1006</v>
      </c>
      <c r="K155" s="24">
        <v>45974</v>
      </c>
      <c r="L155" s="26">
        <v>45974.44722222222</v>
      </c>
      <c r="M155" s="26">
        <v>45974.60972222222</v>
      </c>
      <c r="N155" s="21">
        <v>0</v>
      </c>
      <c r="O155" s="23">
        <v>2004.59</v>
      </c>
      <c r="P155" s="19" t="s">
        <v>1015</v>
      </c>
      <c r="Q155" s="20">
        <v>0</v>
      </c>
      <c r="R155" s="19" t="s">
        <v>1022</v>
      </c>
      <c r="S155" s="19"/>
    </row>
    <row r="156" spans="1:19">
      <c r="A156" s="19" t="s">
        <v>155</v>
      </c>
      <c r="B156" s="19" t="s">
        <v>823</v>
      </c>
      <c r="C156" s="19" t="s">
        <v>828</v>
      </c>
      <c r="D156" s="20">
        <v>0</v>
      </c>
      <c r="E156" s="19" t="s">
        <v>855</v>
      </c>
      <c r="F156" s="19" t="s">
        <v>879</v>
      </c>
      <c r="G156" s="19" t="s">
        <v>903</v>
      </c>
      <c r="H156" s="19" t="s">
        <v>909</v>
      </c>
      <c r="I156" s="19" t="s">
        <v>989</v>
      </c>
      <c r="J156" s="19" t="s">
        <v>1004</v>
      </c>
      <c r="K156" s="24">
        <v>45975</v>
      </c>
      <c r="L156" s="19"/>
      <c r="M156" s="19"/>
      <c r="N156" s="21">
        <v>0</v>
      </c>
      <c r="O156" s="23">
        <v>290.59</v>
      </c>
      <c r="P156" s="19" t="s">
        <v>1015</v>
      </c>
      <c r="Q156" s="20">
        <v>0</v>
      </c>
      <c r="R156" s="19" t="s">
        <v>1021</v>
      </c>
      <c r="S156" s="19"/>
    </row>
    <row r="157" spans="1:19">
      <c r="A157" s="19" t="s">
        <v>156</v>
      </c>
      <c r="B157" s="19" t="s">
        <v>823</v>
      </c>
      <c r="C157" s="19" t="s">
        <v>828</v>
      </c>
      <c r="D157" s="20">
        <v>0</v>
      </c>
      <c r="E157" s="19" t="s">
        <v>842</v>
      </c>
      <c r="F157" s="19" t="s">
        <v>866</v>
      </c>
      <c r="G157" s="19" t="s">
        <v>890</v>
      </c>
      <c r="H157" s="19" t="s">
        <v>917</v>
      </c>
      <c r="I157" s="19" t="s">
        <v>989</v>
      </c>
      <c r="J157" s="19" t="s">
        <v>1004</v>
      </c>
      <c r="K157" s="24">
        <v>45975</v>
      </c>
      <c r="L157" s="19"/>
      <c r="M157" s="19"/>
      <c r="N157" s="21">
        <v>0</v>
      </c>
      <c r="O157" s="23">
        <v>1025.62</v>
      </c>
      <c r="P157" s="19" t="s">
        <v>1014</v>
      </c>
      <c r="Q157" s="20">
        <v>0</v>
      </c>
      <c r="R157" s="19" t="s">
        <v>1021</v>
      </c>
      <c r="S157" s="19"/>
    </row>
    <row r="158" spans="1:19">
      <c r="A158" s="19" t="s">
        <v>157</v>
      </c>
      <c r="B158" s="19" t="s">
        <v>823</v>
      </c>
      <c r="C158" s="19" t="s">
        <v>828</v>
      </c>
      <c r="D158" s="20">
        <v>0</v>
      </c>
      <c r="E158" s="19" t="s">
        <v>848</v>
      </c>
      <c r="F158" s="19" t="s">
        <v>872</v>
      </c>
      <c r="G158" s="19" t="s">
        <v>896</v>
      </c>
      <c r="H158" s="19" t="s">
        <v>907</v>
      </c>
      <c r="I158" s="19" t="s">
        <v>989</v>
      </c>
      <c r="J158" s="19" t="s">
        <v>1004</v>
      </c>
      <c r="K158" s="24">
        <v>45976</v>
      </c>
      <c r="L158" s="19"/>
      <c r="M158" s="19"/>
      <c r="N158" s="21">
        <v>0</v>
      </c>
      <c r="O158" s="23">
        <v>2898.07</v>
      </c>
      <c r="P158" s="19" t="s">
        <v>1014</v>
      </c>
      <c r="Q158" s="20">
        <v>0</v>
      </c>
      <c r="R158" s="19" t="s">
        <v>1021</v>
      </c>
      <c r="S158" s="19"/>
    </row>
    <row r="159" spans="1:19">
      <c r="A159" s="19" t="s">
        <v>158</v>
      </c>
      <c r="B159" s="19" t="s">
        <v>823</v>
      </c>
      <c r="C159" s="19" t="s">
        <v>828</v>
      </c>
      <c r="D159" s="20">
        <v>0</v>
      </c>
      <c r="E159" s="19" t="s">
        <v>850</v>
      </c>
      <c r="F159" s="19" t="s">
        <v>874</v>
      </c>
      <c r="G159" s="19" t="s">
        <v>898</v>
      </c>
      <c r="H159" s="19" t="s">
        <v>912</v>
      </c>
      <c r="I159" s="19" t="s">
        <v>989</v>
      </c>
      <c r="J159" s="19" t="s">
        <v>1004</v>
      </c>
      <c r="K159" s="24">
        <v>45976</v>
      </c>
      <c r="L159" s="19"/>
      <c r="M159" s="19"/>
      <c r="N159" s="21">
        <v>0</v>
      </c>
      <c r="O159" s="23">
        <v>168.83</v>
      </c>
      <c r="P159" s="19" t="s">
        <v>1014</v>
      </c>
      <c r="Q159" s="20">
        <v>0</v>
      </c>
      <c r="R159" s="19" t="s">
        <v>1021</v>
      </c>
      <c r="S159" s="19"/>
    </row>
    <row r="160" spans="1:19">
      <c r="A160" s="19" t="s">
        <v>159</v>
      </c>
      <c r="B160" s="19" t="s">
        <v>823</v>
      </c>
      <c r="C160" s="19" t="s">
        <v>828</v>
      </c>
      <c r="D160" s="20">
        <v>0</v>
      </c>
      <c r="E160" s="19" t="s">
        <v>853</v>
      </c>
      <c r="F160" s="19" t="s">
        <v>877</v>
      </c>
      <c r="G160" s="19" t="s">
        <v>901</v>
      </c>
      <c r="H160" s="19" t="s">
        <v>924</v>
      </c>
      <c r="I160" s="19" t="s">
        <v>989</v>
      </c>
      <c r="J160" s="19" t="s">
        <v>1004</v>
      </c>
      <c r="K160" s="24">
        <v>45976</v>
      </c>
      <c r="L160" s="19"/>
      <c r="M160" s="19"/>
      <c r="N160" s="21">
        <v>0</v>
      </c>
      <c r="O160" s="23">
        <v>449.03</v>
      </c>
      <c r="P160" s="19" t="s">
        <v>1015</v>
      </c>
      <c r="Q160" s="20">
        <v>0</v>
      </c>
      <c r="R160" s="19" t="s">
        <v>1022</v>
      </c>
      <c r="S160" s="19"/>
    </row>
    <row r="161" spans="1:19">
      <c r="A161" s="19" t="s">
        <v>160</v>
      </c>
      <c r="B161" s="19" t="s">
        <v>823</v>
      </c>
      <c r="C161" s="19" t="s">
        <v>828</v>
      </c>
      <c r="D161" s="20">
        <v>0</v>
      </c>
      <c r="E161" s="19" t="s">
        <v>852</v>
      </c>
      <c r="F161" s="19" t="s">
        <v>876</v>
      </c>
      <c r="G161" s="19" t="s">
        <v>900</v>
      </c>
      <c r="H161" s="19" t="s">
        <v>907</v>
      </c>
      <c r="I161" s="19" t="s">
        <v>989</v>
      </c>
      <c r="J161" s="19" t="s">
        <v>1004</v>
      </c>
      <c r="K161" s="24">
        <v>45976</v>
      </c>
      <c r="L161" s="19"/>
      <c r="M161" s="19"/>
      <c r="N161" s="21">
        <v>0</v>
      </c>
      <c r="O161" s="23">
        <v>1191.2</v>
      </c>
      <c r="P161" s="19" t="s">
        <v>1014</v>
      </c>
      <c r="Q161" s="20">
        <v>0</v>
      </c>
      <c r="R161" s="19" t="s">
        <v>1021</v>
      </c>
      <c r="S161" s="19"/>
    </row>
    <row r="162" spans="1:19">
      <c r="A162" s="19" t="s">
        <v>161</v>
      </c>
      <c r="B162" s="19" t="s">
        <v>823</v>
      </c>
      <c r="C162" s="19" t="s">
        <v>828</v>
      </c>
      <c r="D162" s="20">
        <v>0</v>
      </c>
      <c r="E162" s="19" t="s">
        <v>837</v>
      </c>
      <c r="F162" s="19" t="s">
        <v>861</v>
      </c>
      <c r="G162" s="19" t="s">
        <v>885</v>
      </c>
      <c r="H162" s="19" t="s">
        <v>907</v>
      </c>
      <c r="I162" s="19" t="s">
        <v>989</v>
      </c>
      <c r="J162" s="19" t="s">
        <v>1004</v>
      </c>
      <c r="K162" s="24">
        <v>45977</v>
      </c>
      <c r="L162" s="19"/>
      <c r="M162" s="19"/>
      <c r="N162" s="21">
        <v>0</v>
      </c>
      <c r="O162" s="23">
        <v>1233.96</v>
      </c>
      <c r="P162" s="19" t="s">
        <v>1014</v>
      </c>
      <c r="Q162" s="20">
        <v>0</v>
      </c>
      <c r="R162" s="19" t="s">
        <v>1022</v>
      </c>
      <c r="S162" s="19"/>
    </row>
    <row r="163" spans="1:19">
      <c r="A163" s="19" t="s">
        <v>162</v>
      </c>
      <c r="B163" s="19" t="s">
        <v>824</v>
      </c>
      <c r="C163" s="19" t="s">
        <v>829</v>
      </c>
      <c r="D163" s="20">
        <v>0</v>
      </c>
      <c r="E163" s="19" t="s">
        <v>849</v>
      </c>
      <c r="F163" s="19" t="s">
        <v>873</v>
      </c>
      <c r="G163" s="19" t="s">
        <v>897</v>
      </c>
      <c r="H163" s="19" t="s">
        <v>925</v>
      </c>
      <c r="I163" s="19" t="s">
        <v>989</v>
      </c>
      <c r="J163" s="19" t="s">
        <v>1004</v>
      </c>
      <c r="K163" s="24">
        <v>45977</v>
      </c>
      <c r="L163" s="19"/>
      <c r="M163" s="19"/>
      <c r="N163" s="21">
        <v>0</v>
      </c>
      <c r="O163" s="23">
        <v>320</v>
      </c>
      <c r="P163" s="19" t="s">
        <v>1014</v>
      </c>
      <c r="Q163" s="20">
        <v>0</v>
      </c>
      <c r="R163" s="19" t="s">
        <v>1023</v>
      </c>
      <c r="S163" s="19"/>
    </row>
    <row r="164" spans="1:19">
      <c r="A164" s="19" t="s">
        <v>163</v>
      </c>
      <c r="B164" s="19" t="s">
        <v>826</v>
      </c>
      <c r="C164" s="19" t="s">
        <v>831</v>
      </c>
      <c r="D164" s="20">
        <v>1</v>
      </c>
      <c r="E164" s="19" t="s">
        <v>843</v>
      </c>
      <c r="F164" s="19" t="s">
        <v>867</v>
      </c>
      <c r="G164" s="19" t="s">
        <v>891</v>
      </c>
      <c r="H164" s="19" t="s">
        <v>928</v>
      </c>
      <c r="I164" s="19" t="s">
        <v>991</v>
      </c>
      <c r="J164" s="19" t="s">
        <v>1005</v>
      </c>
      <c r="K164" s="24">
        <v>45978</v>
      </c>
      <c r="L164" s="26">
        <v>45978.09583333333</v>
      </c>
      <c r="M164" s="26">
        <v>45978.21666666667</v>
      </c>
      <c r="N164" s="21">
        <v>2.9</v>
      </c>
      <c r="O164" s="23">
        <v>1573.63</v>
      </c>
      <c r="P164" s="19" t="s">
        <v>1014</v>
      </c>
      <c r="Q164" s="20">
        <v>0</v>
      </c>
      <c r="R164" s="19" t="s">
        <v>1024</v>
      </c>
      <c r="S164" s="19" t="s">
        <v>1033</v>
      </c>
    </row>
    <row r="165" spans="1:19">
      <c r="A165" s="19" t="s">
        <v>164</v>
      </c>
      <c r="B165" s="19" t="s">
        <v>823</v>
      </c>
      <c r="C165" s="19" t="s">
        <v>828</v>
      </c>
      <c r="D165" s="20">
        <v>0</v>
      </c>
      <c r="E165" s="19" t="s">
        <v>851</v>
      </c>
      <c r="F165" s="19" t="s">
        <v>875</v>
      </c>
      <c r="G165" s="19" t="s">
        <v>899</v>
      </c>
      <c r="H165" s="19" t="s">
        <v>924</v>
      </c>
      <c r="I165" s="19" t="s">
        <v>989</v>
      </c>
      <c r="J165" s="19" t="s">
        <v>1004</v>
      </c>
      <c r="K165" s="24">
        <v>45978</v>
      </c>
      <c r="L165" s="19"/>
      <c r="M165" s="19"/>
      <c r="N165" s="21">
        <v>0</v>
      </c>
      <c r="O165" s="23">
        <v>353.9</v>
      </c>
      <c r="P165" s="19" t="s">
        <v>1015</v>
      </c>
      <c r="Q165" s="20">
        <v>0</v>
      </c>
      <c r="R165" s="19" t="s">
        <v>1022</v>
      </c>
      <c r="S165" s="19"/>
    </row>
    <row r="166" spans="1:19">
      <c r="A166" s="19" t="s">
        <v>165</v>
      </c>
      <c r="B166" s="19" t="s">
        <v>825</v>
      </c>
      <c r="C166" s="19" t="s">
        <v>830</v>
      </c>
      <c r="D166" s="20">
        <v>1</v>
      </c>
      <c r="E166" s="19" t="s">
        <v>854</v>
      </c>
      <c r="F166" s="19" t="s">
        <v>878</v>
      </c>
      <c r="G166" s="19" t="s">
        <v>902</v>
      </c>
      <c r="H166" s="19" t="s">
        <v>940</v>
      </c>
      <c r="I166" s="19" t="s">
        <v>1001</v>
      </c>
      <c r="J166" s="19" t="s">
        <v>1006</v>
      </c>
      <c r="K166" s="24">
        <v>45980</v>
      </c>
      <c r="L166" s="26">
        <v>45980.25277777778</v>
      </c>
      <c r="M166" s="26">
        <v>45980.38194444445</v>
      </c>
      <c r="N166" s="21">
        <v>3.1</v>
      </c>
      <c r="O166" s="23">
        <v>4012.98</v>
      </c>
      <c r="P166" s="19" t="s">
        <v>1015</v>
      </c>
      <c r="Q166" s="20">
        <v>0</v>
      </c>
      <c r="R166" s="19" t="s">
        <v>1021</v>
      </c>
      <c r="S166" s="19"/>
    </row>
    <row r="167" spans="1:19">
      <c r="A167" s="19" t="s">
        <v>166</v>
      </c>
      <c r="B167" s="19" t="s">
        <v>825</v>
      </c>
      <c r="C167" s="19" t="s">
        <v>830</v>
      </c>
      <c r="D167" s="20">
        <v>1</v>
      </c>
      <c r="E167" s="19" t="s">
        <v>834</v>
      </c>
      <c r="F167" s="19" t="s">
        <v>858</v>
      </c>
      <c r="G167" s="19" t="s">
        <v>882</v>
      </c>
      <c r="H167" s="19" t="s">
        <v>941</v>
      </c>
      <c r="I167" s="19" t="s">
        <v>997</v>
      </c>
      <c r="J167" s="19" t="s">
        <v>1006</v>
      </c>
      <c r="K167" s="24">
        <v>45981</v>
      </c>
      <c r="L167" s="26">
        <v>45981.28819444445</v>
      </c>
      <c r="M167" s="26">
        <v>45981.48402777778</v>
      </c>
      <c r="N167" s="21">
        <v>4.7</v>
      </c>
      <c r="O167" s="23">
        <v>3043.17</v>
      </c>
      <c r="P167" s="19" t="s">
        <v>1014</v>
      </c>
      <c r="Q167" s="20">
        <v>0</v>
      </c>
      <c r="R167" s="19" t="s">
        <v>1021</v>
      </c>
      <c r="S167" s="19"/>
    </row>
    <row r="168" spans="1:19">
      <c r="A168" s="19" t="s">
        <v>167</v>
      </c>
      <c r="B168" s="19" t="s">
        <v>825</v>
      </c>
      <c r="C168" s="19" t="s">
        <v>830</v>
      </c>
      <c r="D168" s="20">
        <v>1</v>
      </c>
      <c r="E168" s="19" t="s">
        <v>839</v>
      </c>
      <c r="F168" s="19" t="s">
        <v>863</v>
      </c>
      <c r="G168" s="19" t="s">
        <v>887</v>
      </c>
      <c r="H168" s="19" t="s">
        <v>942</v>
      </c>
      <c r="I168" s="19" t="s">
        <v>990</v>
      </c>
      <c r="J168" s="19" t="s">
        <v>1006</v>
      </c>
      <c r="K168" s="24">
        <v>45981</v>
      </c>
      <c r="L168" s="26">
        <v>45981.42430555556</v>
      </c>
      <c r="M168" s="26">
        <v>45981.67847222222</v>
      </c>
      <c r="N168" s="21">
        <v>6.1</v>
      </c>
      <c r="O168" s="23">
        <v>3333.64</v>
      </c>
      <c r="P168" s="19" t="s">
        <v>1014</v>
      </c>
      <c r="Q168" s="20">
        <v>0</v>
      </c>
      <c r="R168" s="19" t="s">
        <v>1021</v>
      </c>
      <c r="S168" s="19"/>
    </row>
    <row r="169" spans="1:19">
      <c r="A169" s="19" t="s">
        <v>168</v>
      </c>
      <c r="B169" s="19" t="s">
        <v>823</v>
      </c>
      <c r="C169" s="19" t="s">
        <v>828</v>
      </c>
      <c r="D169" s="20">
        <v>0</v>
      </c>
      <c r="E169" s="19" t="s">
        <v>835</v>
      </c>
      <c r="F169" s="19" t="s">
        <v>859</v>
      </c>
      <c r="G169" s="19" t="s">
        <v>883</v>
      </c>
      <c r="H169" s="19" t="s">
        <v>906</v>
      </c>
      <c r="I169" s="19" t="s">
        <v>989</v>
      </c>
      <c r="J169" s="19" t="s">
        <v>1004</v>
      </c>
      <c r="K169" s="24">
        <v>45982</v>
      </c>
      <c r="L169" s="19"/>
      <c r="M169" s="19"/>
      <c r="N169" s="21">
        <v>0</v>
      </c>
      <c r="O169" s="23">
        <v>363.51</v>
      </c>
      <c r="P169" s="19" t="s">
        <v>1014</v>
      </c>
      <c r="Q169" s="20">
        <v>0</v>
      </c>
      <c r="R169" s="19" t="s">
        <v>1023</v>
      </c>
      <c r="S169" s="19"/>
    </row>
    <row r="170" spans="1:19">
      <c r="A170" s="19" t="s">
        <v>169</v>
      </c>
      <c r="B170" s="19" t="s">
        <v>825</v>
      </c>
      <c r="C170" s="19" t="s">
        <v>830</v>
      </c>
      <c r="D170" s="20">
        <v>1</v>
      </c>
      <c r="E170" s="19" t="s">
        <v>834</v>
      </c>
      <c r="F170" s="19" t="s">
        <v>858</v>
      </c>
      <c r="G170" s="19" t="s">
        <v>882</v>
      </c>
      <c r="H170" s="19" t="s">
        <v>941</v>
      </c>
      <c r="I170" s="19" t="s">
        <v>997</v>
      </c>
      <c r="J170" s="19" t="s">
        <v>1006</v>
      </c>
      <c r="K170" s="24">
        <v>45983</v>
      </c>
      <c r="L170" s="26">
        <v>45983.18263888889</v>
      </c>
      <c r="M170" s="26">
        <v>45983.36597222222</v>
      </c>
      <c r="N170" s="21">
        <v>0</v>
      </c>
      <c r="O170" s="23">
        <v>1280.87</v>
      </c>
      <c r="P170" s="19" t="s">
        <v>1015</v>
      </c>
      <c r="Q170" s="20">
        <v>0</v>
      </c>
      <c r="R170" s="19" t="s">
        <v>1022</v>
      </c>
      <c r="S170" s="19"/>
    </row>
    <row r="171" spans="1:19">
      <c r="A171" s="19" t="s">
        <v>170</v>
      </c>
      <c r="B171" s="19" t="s">
        <v>823</v>
      </c>
      <c r="C171" s="19" t="s">
        <v>828</v>
      </c>
      <c r="D171" s="20">
        <v>0</v>
      </c>
      <c r="E171" s="19" t="s">
        <v>841</v>
      </c>
      <c r="F171" s="19" t="s">
        <v>865</v>
      </c>
      <c r="G171" s="19" t="s">
        <v>889</v>
      </c>
      <c r="H171" s="19" t="s">
        <v>912</v>
      </c>
      <c r="I171" s="19" t="s">
        <v>989</v>
      </c>
      <c r="J171" s="19" t="s">
        <v>1004</v>
      </c>
      <c r="K171" s="24">
        <v>45983</v>
      </c>
      <c r="L171" s="19"/>
      <c r="M171" s="19"/>
      <c r="N171" s="21">
        <v>0</v>
      </c>
      <c r="O171" s="23">
        <v>772.64</v>
      </c>
      <c r="P171" s="19" t="s">
        <v>1014</v>
      </c>
      <c r="Q171" s="20">
        <v>0</v>
      </c>
      <c r="R171" s="19" t="s">
        <v>1022</v>
      </c>
      <c r="S171" s="19"/>
    </row>
    <row r="172" spans="1:19">
      <c r="A172" s="19" t="s">
        <v>171</v>
      </c>
      <c r="B172" s="19" t="s">
        <v>824</v>
      </c>
      <c r="C172" s="19" t="s">
        <v>829</v>
      </c>
      <c r="D172" s="20">
        <v>0</v>
      </c>
      <c r="E172" s="19" t="s">
        <v>848</v>
      </c>
      <c r="F172" s="19" t="s">
        <v>872</v>
      </c>
      <c r="G172" s="19" t="s">
        <v>896</v>
      </c>
      <c r="H172" s="19" t="s">
        <v>908</v>
      </c>
      <c r="I172" s="19" t="s">
        <v>989</v>
      </c>
      <c r="J172" s="19" t="s">
        <v>1004</v>
      </c>
      <c r="K172" s="24">
        <v>45983</v>
      </c>
      <c r="L172" s="19"/>
      <c r="M172" s="19"/>
      <c r="N172" s="21">
        <v>0</v>
      </c>
      <c r="O172" s="23">
        <v>600</v>
      </c>
      <c r="P172" s="19" t="s">
        <v>1014</v>
      </c>
      <c r="Q172" s="20">
        <v>0</v>
      </c>
      <c r="R172" s="19" t="s">
        <v>1023</v>
      </c>
      <c r="S172" s="19"/>
    </row>
    <row r="173" spans="1:19">
      <c r="A173" s="19" t="s">
        <v>172</v>
      </c>
      <c r="B173" s="19" t="s">
        <v>824</v>
      </c>
      <c r="C173" s="19" t="s">
        <v>829</v>
      </c>
      <c r="D173" s="20">
        <v>0</v>
      </c>
      <c r="E173" s="19" t="s">
        <v>853</v>
      </c>
      <c r="F173" s="19" t="s">
        <v>877</v>
      </c>
      <c r="G173" s="19" t="s">
        <v>901</v>
      </c>
      <c r="H173" s="19" t="s">
        <v>914</v>
      </c>
      <c r="I173" s="19" t="s">
        <v>989</v>
      </c>
      <c r="J173" s="19" t="s">
        <v>1004</v>
      </c>
      <c r="K173" s="24">
        <v>45983</v>
      </c>
      <c r="L173" s="19"/>
      <c r="M173" s="19"/>
      <c r="N173" s="21">
        <v>0</v>
      </c>
      <c r="O173" s="23">
        <v>140</v>
      </c>
      <c r="P173" s="19" t="s">
        <v>1015</v>
      </c>
      <c r="Q173" s="20">
        <v>0</v>
      </c>
      <c r="R173" s="19" t="s">
        <v>1021</v>
      </c>
      <c r="S173" s="19"/>
    </row>
    <row r="174" spans="1:19">
      <c r="A174" s="19" t="s">
        <v>173</v>
      </c>
      <c r="B174" s="19" t="s">
        <v>823</v>
      </c>
      <c r="C174" s="19" t="s">
        <v>828</v>
      </c>
      <c r="D174" s="20">
        <v>0</v>
      </c>
      <c r="E174" s="19" t="s">
        <v>836</v>
      </c>
      <c r="F174" s="19" t="s">
        <v>860</v>
      </c>
      <c r="G174" s="19" t="s">
        <v>884</v>
      </c>
      <c r="H174" s="19" t="s">
        <v>912</v>
      </c>
      <c r="I174" s="19" t="s">
        <v>989</v>
      </c>
      <c r="J174" s="19" t="s">
        <v>1004</v>
      </c>
      <c r="K174" s="24">
        <v>45984</v>
      </c>
      <c r="L174" s="19"/>
      <c r="M174" s="19"/>
      <c r="N174" s="21">
        <v>0</v>
      </c>
      <c r="O174" s="23">
        <v>193.17</v>
      </c>
      <c r="P174" s="19" t="s">
        <v>1015</v>
      </c>
      <c r="Q174" s="20">
        <v>0</v>
      </c>
      <c r="R174" s="19" t="s">
        <v>1023</v>
      </c>
      <c r="S174" s="19"/>
    </row>
    <row r="175" spans="1:19">
      <c r="A175" s="19" t="s">
        <v>174</v>
      </c>
      <c r="B175" s="19" t="s">
        <v>823</v>
      </c>
      <c r="C175" s="19" t="s">
        <v>828</v>
      </c>
      <c r="D175" s="20">
        <v>0</v>
      </c>
      <c r="E175" s="19" t="s">
        <v>845</v>
      </c>
      <c r="F175" s="19" t="s">
        <v>869</v>
      </c>
      <c r="G175" s="19" t="s">
        <v>893</v>
      </c>
      <c r="H175" s="19" t="s">
        <v>907</v>
      </c>
      <c r="I175" s="19" t="s">
        <v>989</v>
      </c>
      <c r="J175" s="19" t="s">
        <v>1004</v>
      </c>
      <c r="K175" s="24">
        <v>45985</v>
      </c>
      <c r="L175" s="19"/>
      <c r="M175" s="19"/>
      <c r="N175" s="21">
        <v>0</v>
      </c>
      <c r="O175" s="23">
        <v>1445.68</v>
      </c>
      <c r="P175" s="19" t="s">
        <v>1015</v>
      </c>
      <c r="Q175" s="20">
        <v>0</v>
      </c>
      <c r="R175" s="19" t="s">
        <v>1023</v>
      </c>
      <c r="S175" s="19"/>
    </row>
    <row r="176" spans="1:19">
      <c r="A176" s="19" t="s">
        <v>175</v>
      </c>
      <c r="B176" s="19" t="s">
        <v>824</v>
      </c>
      <c r="C176" s="19" t="s">
        <v>829</v>
      </c>
      <c r="D176" s="20">
        <v>0</v>
      </c>
      <c r="E176" s="19" t="s">
        <v>856</v>
      </c>
      <c r="F176" s="19" t="s">
        <v>880</v>
      </c>
      <c r="G176" s="19" t="s">
        <v>904</v>
      </c>
      <c r="H176" s="19" t="s">
        <v>914</v>
      </c>
      <c r="I176" s="19" t="s">
        <v>989</v>
      </c>
      <c r="J176" s="19" t="s">
        <v>1004</v>
      </c>
      <c r="K176" s="24">
        <v>45985</v>
      </c>
      <c r="L176" s="19"/>
      <c r="M176" s="19"/>
      <c r="N176" s="21">
        <v>0</v>
      </c>
      <c r="O176" s="23">
        <v>48</v>
      </c>
      <c r="P176" s="19" t="s">
        <v>1015</v>
      </c>
      <c r="Q176" s="20">
        <v>0</v>
      </c>
      <c r="R176" s="19" t="s">
        <v>1023</v>
      </c>
      <c r="S176" s="19"/>
    </row>
    <row r="177" spans="1:19">
      <c r="A177" s="19" t="s">
        <v>176</v>
      </c>
      <c r="B177" s="19" t="s">
        <v>826</v>
      </c>
      <c r="C177" s="19" t="s">
        <v>831</v>
      </c>
      <c r="D177" s="20">
        <v>1</v>
      </c>
      <c r="E177" s="19" t="s">
        <v>835</v>
      </c>
      <c r="F177" s="19" t="s">
        <v>859</v>
      </c>
      <c r="G177" s="19" t="s">
        <v>883</v>
      </c>
      <c r="H177" s="19" t="s">
        <v>943</v>
      </c>
      <c r="I177" s="19" t="s">
        <v>993</v>
      </c>
      <c r="J177" s="19" t="s">
        <v>1005</v>
      </c>
      <c r="K177" s="24">
        <v>45985</v>
      </c>
      <c r="L177" s="26">
        <v>45985.67916666667</v>
      </c>
      <c r="M177" s="26">
        <v>45986.09583333333</v>
      </c>
      <c r="N177" s="21">
        <v>10</v>
      </c>
      <c r="O177" s="23">
        <v>1869.96</v>
      </c>
      <c r="P177" s="19" t="s">
        <v>1015</v>
      </c>
      <c r="Q177" s="20">
        <v>0</v>
      </c>
      <c r="R177" s="19" t="s">
        <v>1024</v>
      </c>
      <c r="S177" s="19" t="s">
        <v>1027</v>
      </c>
    </row>
    <row r="178" spans="1:19">
      <c r="A178" s="19" t="s">
        <v>177</v>
      </c>
      <c r="B178" s="19" t="s">
        <v>825</v>
      </c>
      <c r="C178" s="19" t="s">
        <v>830</v>
      </c>
      <c r="D178" s="20">
        <v>1</v>
      </c>
      <c r="E178" s="19" t="s">
        <v>841</v>
      </c>
      <c r="F178" s="19" t="s">
        <v>865</v>
      </c>
      <c r="G178" s="19" t="s">
        <v>889</v>
      </c>
      <c r="H178" s="19" t="s">
        <v>934</v>
      </c>
      <c r="I178" s="19" t="s">
        <v>993</v>
      </c>
      <c r="J178" s="19" t="s">
        <v>1005</v>
      </c>
      <c r="K178" s="24">
        <v>45985</v>
      </c>
      <c r="L178" s="26">
        <v>45985.91597222222</v>
      </c>
      <c r="M178" s="26">
        <v>45986.20347222222</v>
      </c>
      <c r="N178" s="21">
        <v>0</v>
      </c>
      <c r="O178" s="23">
        <v>7122.47</v>
      </c>
      <c r="P178" s="19" t="s">
        <v>1014</v>
      </c>
      <c r="Q178" s="20">
        <v>0</v>
      </c>
      <c r="R178" s="19" t="s">
        <v>1023</v>
      </c>
      <c r="S178" s="19" t="s">
        <v>1027</v>
      </c>
    </row>
    <row r="179" spans="1:19">
      <c r="A179" s="19" t="s">
        <v>178</v>
      </c>
      <c r="B179" s="19" t="s">
        <v>823</v>
      </c>
      <c r="C179" s="19" t="s">
        <v>828</v>
      </c>
      <c r="D179" s="20">
        <v>0</v>
      </c>
      <c r="E179" s="19" t="s">
        <v>856</v>
      </c>
      <c r="F179" s="19" t="s">
        <v>880</v>
      </c>
      <c r="G179" s="19" t="s">
        <v>904</v>
      </c>
      <c r="H179" s="19" t="s">
        <v>907</v>
      </c>
      <c r="I179" s="19" t="s">
        <v>989</v>
      </c>
      <c r="J179" s="19" t="s">
        <v>1004</v>
      </c>
      <c r="K179" s="24">
        <v>45986</v>
      </c>
      <c r="L179" s="19"/>
      <c r="M179" s="19"/>
      <c r="N179" s="21">
        <v>0</v>
      </c>
      <c r="O179" s="23">
        <v>79.43000000000001</v>
      </c>
      <c r="P179" s="19" t="s">
        <v>1014</v>
      </c>
      <c r="Q179" s="20">
        <v>0</v>
      </c>
      <c r="R179" s="19" t="s">
        <v>1021</v>
      </c>
      <c r="S179" s="19"/>
    </row>
    <row r="180" spans="1:19">
      <c r="A180" s="19" t="s">
        <v>179</v>
      </c>
      <c r="B180" s="19" t="s">
        <v>823</v>
      </c>
      <c r="C180" s="19" t="s">
        <v>828</v>
      </c>
      <c r="D180" s="20">
        <v>0</v>
      </c>
      <c r="E180" s="19" t="s">
        <v>834</v>
      </c>
      <c r="F180" s="19" t="s">
        <v>858</v>
      </c>
      <c r="G180" s="19" t="s">
        <v>882</v>
      </c>
      <c r="H180" s="19" t="s">
        <v>924</v>
      </c>
      <c r="I180" s="19" t="s">
        <v>989</v>
      </c>
      <c r="J180" s="19" t="s">
        <v>1004</v>
      </c>
      <c r="K180" s="24">
        <v>45986</v>
      </c>
      <c r="L180" s="19"/>
      <c r="M180" s="19"/>
      <c r="N180" s="21">
        <v>0</v>
      </c>
      <c r="O180" s="23">
        <v>296.82</v>
      </c>
      <c r="P180" s="19" t="s">
        <v>1014</v>
      </c>
      <c r="Q180" s="20">
        <v>0</v>
      </c>
      <c r="R180" s="19" t="s">
        <v>1022</v>
      </c>
      <c r="S180" s="19"/>
    </row>
    <row r="181" spans="1:19">
      <c r="A181" s="19" t="s">
        <v>180</v>
      </c>
      <c r="B181" s="19" t="s">
        <v>823</v>
      </c>
      <c r="C181" s="19" t="s">
        <v>828</v>
      </c>
      <c r="D181" s="20">
        <v>0</v>
      </c>
      <c r="E181" s="19" t="s">
        <v>840</v>
      </c>
      <c r="F181" s="19" t="s">
        <v>864</v>
      </c>
      <c r="G181" s="19" t="s">
        <v>888</v>
      </c>
      <c r="H181" s="19" t="s">
        <v>917</v>
      </c>
      <c r="I181" s="19" t="s">
        <v>989</v>
      </c>
      <c r="J181" s="19" t="s">
        <v>1004</v>
      </c>
      <c r="K181" s="24">
        <v>45986</v>
      </c>
      <c r="L181" s="19"/>
      <c r="M181" s="19"/>
      <c r="N181" s="21">
        <v>0</v>
      </c>
      <c r="O181" s="23">
        <v>475.31</v>
      </c>
      <c r="P181" s="19" t="s">
        <v>1015</v>
      </c>
      <c r="Q181" s="20">
        <v>0</v>
      </c>
      <c r="R181" s="19" t="s">
        <v>1021</v>
      </c>
      <c r="S181" s="19"/>
    </row>
    <row r="182" spans="1:19">
      <c r="A182" s="19" t="s">
        <v>181</v>
      </c>
      <c r="B182" s="19" t="s">
        <v>824</v>
      </c>
      <c r="C182" s="19" t="s">
        <v>829</v>
      </c>
      <c r="D182" s="20">
        <v>0</v>
      </c>
      <c r="E182" s="19" t="s">
        <v>842</v>
      </c>
      <c r="F182" s="19" t="s">
        <v>866</v>
      </c>
      <c r="G182" s="19" t="s">
        <v>890</v>
      </c>
      <c r="H182" s="19" t="s">
        <v>914</v>
      </c>
      <c r="I182" s="19" t="s">
        <v>989</v>
      </c>
      <c r="J182" s="19" t="s">
        <v>1004</v>
      </c>
      <c r="K182" s="24">
        <v>45986</v>
      </c>
      <c r="L182" s="19"/>
      <c r="M182" s="19"/>
      <c r="N182" s="21">
        <v>0</v>
      </c>
      <c r="O182" s="23">
        <v>320</v>
      </c>
      <c r="P182" s="19" t="s">
        <v>1015</v>
      </c>
      <c r="Q182" s="20">
        <v>0</v>
      </c>
      <c r="R182" s="19" t="s">
        <v>1022</v>
      </c>
      <c r="S182" s="19"/>
    </row>
    <row r="183" spans="1:19">
      <c r="A183" s="19" t="s">
        <v>182</v>
      </c>
      <c r="B183" s="19" t="s">
        <v>826</v>
      </c>
      <c r="C183" s="19" t="s">
        <v>831</v>
      </c>
      <c r="D183" s="20">
        <v>1</v>
      </c>
      <c r="E183" s="19" t="s">
        <v>842</v>
      </c>
      <c r="F183" s="19" t="s">
        <v>866</v>
      </c>
      <c r="G183" s="19" t="s">
        <v>890</v>
      </c>
      <c r="H183" s="19" t="s">
        <v>927</v>
      </c>
      <c r="I183" s="19" t="s">
        <v>998</v>
      </c>
      <c r="J183" s="19" t="s">
        <v>1006</v>
      </c>
      <c r="K183" s="24">
        <v>45986</v>
      </c>
      <c r="L183" s="26">
        <v>45986.99097222222</v>
      </c>
      <c r="M183" s="26">
        <v>45987.20763888889</v>
      </c>
      <c r="N183" s="21">
        <v>5.2</v>
      </c>
      <c r="O183" s="23">
        <v>6237</v>
      </c>
      <c r="P183" s="19" t="s">
        <v>1014</v>
      </c>
      <c r="Q183" s="20">
        <v>0</v>
      </c>
      <c r="R183" s="19" t="s">
        <v>1024</v>
      </c>
      <c r="S183" s="19"/>
    </row>
    <row r="184" spans="1:19">
      <c r="A184" s="19" t="s">
        <v>183</v>
      </c>
      <c r="B184" s="19" t="s">
        <v>823</v>
      </c>
      <c r="C184" s="19" t="s">
        <v>828</v>
      </c>
      <c r="D184" s="20">
        <v>0</v>
      </c>
      <c r="E184" s="19" t="s">
        <v>849</v>
      </c>
      <c r="F184" s="19" t="s">
        <v>873</v>
      </c>
      <c r="G184" s="19" t="s">
        <v>897</v>
      </c>
      <c r="H184" s="19" t="s">
        <v>911</v>
      </c>
      <c r="I184" s="19" t="s">
        <v>989</v>
      </c>
      <c r="J184" s="19" t="s">
        <v>1004</v>
      </c>
      <c r="K184" s="24">
        <v>45987</v>
      </c>
      <c r="L184" s="19"/>
      <c r="M184" s="19"/>
      <c r="N184" s="21">
        <v>0</v>
      </c>
      <c r="O184" s="23">
        <v>675.3200000000001</v>
      </c>
      <c r="P184" s="19" t="s">
        <v>1015</v>
      </c>
      <c r="Q184" s="20">
        <v>0</v>
      </c>
      <c r="R184" s="19" t="s">
        <v>1022</v>
      </c>
      <c r="S184" s="19"/>
    </row>
    <row r="185" spans="1:19">
      <c r="A185" s="19" t="s">
        <v>184</v>
      </c>
      <c r="B185" s="19" t="s">
        <v>825</v>
      </c>
      <c r="C185" s="19" t="s">
        <v>830</v>
      </c>
      <c r="D185" s="20">
        <v>1</v>
      </c>
      <c r="E185" s="19" t="s">
        <v>837</v>
      </c>
      <c r="F185" s="19" t="s">
        <v>861</v>
      </c>
      <c r="G185" s="19" t="s">
        <v>885</v>
      </c>
      <c r="H185" s="19" t="s">
        <v>944</v>
      </c>
      <c r="I185" s="19" t="s">
        <v>995</v>
      </c>
      <c r="J185" s="19" t="s">
        <v>1007</v>
      </c>
      <c r="K185" s="24">
        <v>45987</v>
      </c>
      <c r="L185" s="26">
        <v>45987.46527777778</v>
      </c>
      <c r="M185" s="26">
        <v>45988.36527777778</v>
      </c>
      <c r="N185" s="21">
        <v>0</v>
      </c>
      <c r="O185" s="23">
        <v>2793.98</v>
      </c>
      <c r="P185" s="19" t="s">
        <v>1015</v>
      </c>
      <c r="Q185" s="20">
        <v>0</v>
      </c>
      <c r="R185" s="19" t="s">
        <v>1022</v>
      </c>
      <c r="S185" s="19"/>
    </row>
    <row r="186" spans="1:19">
      <c r="A186" s="19" t="s">
        <v>185</v>
      </c>
      <c r="B186" s="19" t="s">
        <v>823</v>
      </c>
      <c r="C186" s="19" t="s">
        <v>828</v>
      </c>
      <c r="D186" s="20">
        <v>0</v>
      </c>
      <c r="E186" s="19" t="s">
        <v>842</v>
      </c>
      <c r="F186" s="19" t="s">
        <v>866</v>
      </c>
      <c r="G186" s="19" t="s">
        <v>890</v>
      </c>
      <c r="H186" s="19" t="s">
        <v>909</v>
      </c>
      <c r="I186" s="19" t="s">
        <v>989</v>
      </c>
      <c r="J186" s="19" t="s">
        <v>1004</v>
      </c>
      <c r="K186" s="24">
        <v>45989</v>
      </c>
      <c r="L186" s="19"/>
      <c r="M186" s="19"/>
      <c r="N186" s="21">
        <v>0</v>
      </c>
      <c r="O186" s="23">
        <v>502.96</v>
      </c>
      <c r="P186" s="19" t="s">
        <v>1014</v>
      </c>
      <c r="Q186" s="20">
        <v>0</v>
      </c>
      <c r="R186" s="19" t="s">
        <v>1022</v>
      </c>
      <c r="S186" s="19"/>
    </row>
    <row r="187" spans="1:19">
      <c r="A187" s="19" t="s">
        <v>186</v>
      </c>
      <c r="B187" s="19" t="s">
        <v>826</v>
      </c>
      <c r="C187" s="19" t="s">
        <v>831</v>
      </c>
      <c r="D187" s="20">
        <v>1</v>
      </c>
      <c r="E187" s="19" t="s">
        <v>837</v>
      </c>
      <c r="F187" s="19" t="s">
        <v>861</v>
      </c>
      <c r="G187" s="19" t="s">
        <v>885</v>
      </c>
      <c r="H187" s="19" t="s">
        <v>945</v>
      </c>
      <c r="I187" s="19" t="s">
        <v>1000</v>
      </c>
      <c r="J187" s="19" t="s">
        <v>1006</v>
      </c>
      <c r="K187" s="24">
        <v>45990</v>
      </c>
      <c r="L187" s="26">
        <v>45990.05416666667</v>
      </c>
      <c r="M187" s="26">
        <v>45990.18333333333</v>
      </c>
      <c r="N187" s="21">
        <v>3.1</v>
      </c>
      <c r="O187" s="23">
        <v>6058.41</v>
      </c>
      <c r="P187" s="19" t="s">
        <v>1015</v>
      </c>
      <c r="Q187" s="20">
        <v>0</v>
      </c>
      <c r="R187" s="19" t="s">
        <v>1024</v>
      </c>
      <c r="S187" s="19"/>
    </row>
    <row r="188" spans="1:19">
      <c r="A188" s="19" t="s">
        <v>187</v>
      </c>
      <c r="B188" s="19" t="s">
        <v>823</v>
      </c>
      <c r="C188" s="19" t="s">
        <v>828</v>
      </c>
      <c r="D188" s="20">
        <v>0</v>
      </c>
      <c r="E188" s="19" t="s">
        <v>839</v>
      </c>
      <c r="F188" s="19" t="s">
        <v>863</v>
      </c>
      <c r="G188" s="19" t="s">
        <v>887</v>
      </c>
      <c r="H188" s="19" t="s">
        <v>911</v>
      </c>
      <c r="I188" s="19" t="s">
        <v>989</v>
      </c>
      <c r="J188" s="19" t="s">
        <v>1004</v>
      </c>
      <c r="K188" s="24">
        <v>45990</v>
      </c>
      <c r="L188" s="19"/>
      <c r="M188" s="19"/>
      <c r="N188" s="21">
        <v>0</v>
      </c>
      <c r="O188" s="23">
        <v>373.44</v>
      </c>
      <c r="P188" s="19" t="s">
        <v>1015</v>
      </c>
      <c r="Q188" s="20">
        <v>0</v>
      </c>
      <c r="R188" s="19" t="s">
        <v>1023</v>
      </c>
      <c r="S188" s="19"/>
    </row>
    <row r="189" spans="1:19">
      <c r="A189" s="19" t="s">
        <v>188</v>
      </c>
      <c r="B189" s="19" t="s">
        <v>826</v>
      </c>
      <c r="C189" s="19" t="s">
        <v>831</v>
      </c>
      <c r="D189" s="20">
        <v>1</v>
      </c>
      <c r="E189" s="19" t="s">
        <v>841</v>
      </c>
      <c r="F189" s="19" t="s">
        <v>865</v>
      </c>
      <c r="G189" s="19" t="s">
        <v>889</v>
      </c>
      <c r="H189" s="19" t="s">
        <v>928</v>
      </c>
      <c r="I189" s="19" t="s">
        <v>991</v>
      </c>
      <c r="J189" s="19" t="s">
        <v>1006</v>
      </c>
      <c r="K189" s="24">
        <v>45990</v>
      </c>
      <c r="L189" s="26">
        <v>45990.35625</v>
      </c>
      <c r="M189" s="26">
        <v>45990.60208333333</v>
      </c>
      <c r="N189" s="21">
        <v>5.9</v>
      </c>
      <c r="O189" s="23">
        <v>11816.01</v>
      </c>
      <c r="P189" s="19" t="s">
        <v>1014</v>
      </c>
      <c r="Q189" s="20">
        <v>0</v>
      </c>
      <c r="R189" s="19" t="s">
        <v>1024</v>
      </c>
      <c r="S189" s="19"/>
    </row>
    <row r="190" spans="1:19">
      <c r="A190" s="19" t="s">
        <v>189</v>
      </c>
      <c r="B190" s="19" t="s">
        <v>823</v>
      </c>
      <c r="C190" s="19" t="s">
        <v>828</v>
      </c>
      <c r="D190" s="20">
        <v>0</v>
      </c>
      <c r="E190" s="19" t="s">
        <v>838</v>
      </c>
      <c r="F190" s="19" t="s">
        <v>862</v>
      </c>
      <c r="G190" s="19" t="s">
        <v>886</v>
      </c>
      <c r="H190" s="19" t="s">
        <v>907</v>
      </c>
      <c r="I190" s="19" t="s">
        <v>989</v>
      </c>
      <c r="J190" s="19" t="s">
        <v>1004</v>
      </c>
      <c r="K190" s="24">
        <v>45991</v>
      </c>
      <c r="L190" s="19"/>
      <c r="M190" s="19"/>
      <c r="N190" s="21">
        <v>0</v>
      </c>
      <c r="O190" s="23">
        <v>335.17</v>
      </c>
      <c r="P190" s="19" t="s">
        <v>1014</v>
      </c>
      <c r="Q190" s="20">
        <v>0</v>
      </c>
      <c r="R190" s="19" t="s">
        <v>1023</v>
      </c>
      <c r="S190" s="19"/>
    </row>
    <row r="191" spans="1:19">
      <c r="A191" s="19" t="s">
        <v>190</v>
      </c>
      <c r="B191" s="19" t="s">
        <v>825</v>
      </c>
      <c r="C191" s="19" t="s">
        <v>830</v>
      </c>
      <c r="D191" s="20">
        <v>1</v>
      </c>
      <c r="E191" s="19" t="s">
        <v>853</v>
      </c>
      <c r="F191" s="19" t="s">
        <v>877</v>
      </c>
      <c r="G191" s="19" t="s">
        <v>901</v>
      </c>
      <c r="H191" s="19" t="s">
        <v>946</v>
      </c>
      <c r="I191" s="19" t="s">
        <v>990</v>
      </c>
      <c r="J191" s="19" t="s">
        <v>1006</v>
      </c>
      <c r="K191" s="24">
        <v>45991</v>
      </c>
      <c r="L191" s="26">
        <v>45991.30763888889</v>
      </c>
      <c r="M191" s="26">
        <v>45991.60347222222</v>
      </c>
      <c r="N191" s="21">
        <v>7.1</v>
      </c>
      <c r="O191" s="23">
        <v>6722.76</v>
      </c>
      <c r="P191" s="19" t="s">
        <v>1015</v>
      </c>
      <c r="Q191" s="20">
        <v>0</v>
      </c>
      <c r="R191" s="19" t="s">
        <v>1022</v>
      </c>
      <c r="S191" s="19"/>
    </row>
    <row r="192" spans="1:19">
      <c r="A192" s="19" t="s">
        <v>191</v>
      </c>
      <c r="B192" s="19" t="s">
        <v>824</v>
      </c>
      <c r="C192" s="19" t="s">
        <v>829</v>
      </c>
      <c r="D192" s="20">
        <v>0</v>
      </c>
      <c r="E192" s="19" t="s">
        <v>838</v>
      </c>
      <c r="F192" s="19" t="s">
        <v>862</v>
      </c>
      <c r="G192" s="19" t="s">
        <v>886</v>
      </c>
      <c r="H192" s="19" t="s">
        <v>910</v>
      </c>
      <c r="I192" s="19" t="s">
        <v>989</v>
      </c>
      <c r="J192" s="19" t="s">
        <v>1004</v>
      </c>
      <c r="K192" s="24">
        <v>45992</v>
      </c>
      <c r="L192" s="19"/>
      <c r="M192" s="19"/>
      <c r="N192" s="21">
        <v>0</v>
      </c>
      <c r="O192" s="23">
        <v>80</v>
      </c>
      <c r="P192" s="19" t="s">
        <v>1015</v>
      </c>
      <c r="Q192" s="20">
        <v>0</v>
      </c>
      <c r="R192" s="19" t="s">
        <v>1022</v>
      </c>
      <c r="S192" s="19"/>
    </row>
    <row r="193" spans="1:19">
      <c r="A193" s="19" t="s">
        <v>192</v>
      </c>
      <c r="B193" s="19" t="s">
        <v>824</v>
      </c>
      <c r="C193" s="19" t="s">
        <v>829</v>
      </c>
      <c r="D193" s="20">
        <v>0</v>
      </c>
      <c r="E193" s="19" t="s">
        <v>839</v>
      </c>
      <c r="F193" s="19" t="s">
        <v>863</v>
      </c>
      <c r="G193" s="19" t="s">
        <v>887</v>
      </c>
      <c r="H193" s="19" t="s">
        <v>910</v>
      </c>
      <c r="I193" s="19" t="s">
        <v>989</v>
      </c>
      <c r="J193" s="19" t="s">
        <v>1004</v>
      </c>
      <c r="K193" s="24">
        <v>45992</v>
      </c>
      <c r="L193" s="19"/>
      <c r="M193" s="19"/>
      <c r="N193" s="21">
        <v>0</v>
      </c>
      <c r="O193" s="23">
        <v>160</v>
      </c>
      <c r="P193" s="19" t="s">
        <v>1014</v>
      </c>
      <c r="Q193" s="20">
        <v>0</v>
      </c>
      <c r="R193" s="19" t="s">
        <v>1021</v>
      </c>
      <c r="S193" s="19"/>
    </row>
    <row r="194" spans="1:19">
      <c r="A194" s="19" t="s">
        <v>193</v>
      </c>
      <c r="B194" s="19" t="s">
        <v>824</v>
      </c>
      <c r="C194" s="19" t="s">
        <v>829</v>
      </c>
      <c r="D194" s="20">
        <v>0</v>
      </c>
      <c r="E194" s="19" t="s">
        <v>855</v>
      </c>
      <c r="F194" s="19" t="s">
        <v>879</v>
      </c>
      <c r="G194" s="19" t="s">
        <v>903</v>
      </c>
      <c r="H194" s="19" t="s">
        <v>910</v>
      </c>
      <c r="I194" s="19" t="s">
        <v>989</v>
      </c>
      <c r="J194" s="19" t="s">
        <v>1004</v>
      </c>
      <c r="K194" s="24">
        <v>45992</v>
      </c>
      <c r="L194" s="19"/>
      <c r="M194" s="19"/>
      <c r="N194" s="21">
        <v>0</v>
      </c>
      <c r="O194" s="23">
        <v>100</v>
      </c>
      <c r="P194" s="19" t="s">
        <v>1015</v>
      </c>
      <c r="Q194" s="20">
        <v>0</v>
      </c>
      <c r="R194" s="19" t="s">
        <v>1023</v>
      </c>
      <c r="S194" s="19"/>
    </row>
    <row r="195" spans="1:19">
      <c r="A195" s="19" t="s">
        <v>194</v>
      </c>
      <c r="B195" s="19" t="s">
        <v>823</v>
      </c>
      <c r="C195" s="19" t="s">
        <v>828</v>
      </c>
      <c r="D195" s="20">
        <v>0</v>
      </c>
      <c r="E195" s="19" t="s">
        <v>848</v>
      </c>
      <c r="F195" s="19" t="s">
        <v>872</v>
      </c>
      <c r="G195" s="19" t="s">
        <v>896</v>
      </c>
      <c r="H195" s="19" t="s">
        <v>911</v>
      </c>
      <c r="I195" s="19" t="s">
        <v>989</v>
      </c>
      <c r="J195" s="19" t="s">
        <v>1004</v>
      </c>
      <c r="K195" s="24">
        <v>45993</v>
      </c>
      <c r="L195" s="19"/>
      <c r="M195" s="19"/>
      <c r="N195" s="21">
        <v>0</v>
      </c>
      <c r="O195" s="23">
        <v>1890.68</v>
      </c>
      <c r="P195" s="19" t="s">
        <v>1014</v>
      </c>
      <c r="Q195" s="20">
        <v>0</v>
      </c>
      <c r="R195" s="19" t="s">
        <v>1021</v>
      </c>
      <c r="S195" s="19"/>
    </row>
    <row r="196" spans="1:19">
      <c r="A196" s="19" t="s">
        <v>195</v>
      </c>
      <c r="B196" s="19" t="s">
        <v>823</v>
      </c>
      <c r="C196" s="19" t="s">
        <v>828</v>
      </c>
      <c r="D196" s="20">
        <v>0</v>
      </c>
      <c r="E196" s="19" t="s">
        <v>844</v>
      </c>
      <c r="F196" s="19" t="s">
        <v>868</v>
      </c>
      <c r="G196" s="19" t="s">
        <v>892</v>
      </c>
      <c r="H196" s="19" t="s">
        <v>912</v>
      </c>
      <c r="I196" s="19" t="s">
        <v>989</v>
      </c>
      <c r="J196" s="19" t="s">
        <v>1004</v>
      </c>
      <c r="K196" s="24">
        <v>45994</v>
      </c>
      <c r="L196" s="19"/>
      <c r="M196" s="19"/>
      <c r="N196" s="21">
        <v>0</v>
      </c>
      <c r="O196" s="23">
        <v>599.37</v>
      </c>
      <c r="P196" s="19" t="s">
        <v>1015</v>
      </c>
      <c r="Q196" s="20">
        <v>0</v>
      </c>
      <c r="R196" s="19" t="s">
        <v>1021</v>
      </c>
      <c r="S196" s="19"/>
    </row>
    <row r="197" spans="1:19">
      <c r="A197" s="19" t="s">
        <v>196</v>
      </c>
      <c r="B197" s="19" t="s">
        <v>823</v>
      </c>
      <c r="C197" s="19" t="s">
        <v>828</v>
      </c>
      <c r="D197" s="20">
        <v>0</v>
      </c>
      <c r="E197" s="19" t="s">
        <v>843</v>
      </c>
      <c r="F197" s="19" t="s">
        <v>867</v>
      </c>
      <c r="G197" s="19" t="s">
        <v>891</v>
      </c>
      <c r="H197" s="19" t="s">
        <v>912</v>
      </c>
      <c r="I197" s="19" t="s">
        <v>989</v>
      </c>
      <c r="J197" s="19" t="s">
        <v>1004</v>
      </c>
      <c r="K197" s="24">
        <v>45995</v>
      </c>
      <c r="L197" s="19"/>
      <c r="M197" s="19"/>
      <c r="N197" s="21">
        <v>0</v>
      </c>
      <c r="O197" s="23">
        <v>217.8</v>
      </c>
      <c r="P197" s="19" t="s">
        <v>1015</v>
      </c>
      <c r="Q197" s="20">
        <v>0</v>
      </c>
      <c r="R197" s="19" t="s">
        <v>1023</v>
      </c>
      <c r="S197" s="19"/>
    </row>
    <row r="198" spans="1:19">
      <c r="A198" s="19" t="s">
        <v>197</v>
      </c>
      <c r="B198" s="19" t="s">
        <v>823</v>
      </c>
      <c r="C198" s="19" t="s">
        <v>828</v>
      </c>
      <c r="D198" s="20">
        <v>0</v>
      </c>
      <c r="E198" s="19" t="s">
        <v>846</v>
      </c>
      <c r="F198" s="19" t="s">
        <v>870</v>
      </c>
      <c r="G198" s="19" t="s">
        <v>894</v>
      </c>
      <c r="H198" s="19" t="s">
        <v>912</v>
      </c>
      <c r="I198" s="19" t="s">
        <v>989</v>
      </c>
      <c r="J198" s="19" t="s">
        <v>1004</v>
      </c>
      <c r="K198" s="24">
        <v>45995</v>
      </c>
      <c r="L198" s="19"/>
      <c r="M198" s="19"/>
      <c r="N198" s="21">
        <v>0</v>
      </c>
      <c r="O198" s="23">
        <v>234.2</v>
      </c>
      <c r="P198" s="19" t="s">
        <v>1015</v>
      </c>
      <c r="Q198" s="20">
        <v>0</v>
      </c>
      <c r="R198" s="19" t="s">
        <v>1022</v>
      </c>
      <c r="S198" s="19"/>
    </row>
    <row r="199" spans="1:19">
      <c r="A199" s="19" t="s">
        <v>198</v>
      </c>
      <c r="B199" s="19" t="s">
        <v>823</v>
      </c>
      <c r="C199" s="19" t="s">
        <v>828</v>
      </c>
      <c r="D199" s="20">
        <v>0</v>
      </c>
      <c r="E199" s="19" t="s">
        <v>851</v>
      </c>
      <c r="F199" s="19" t="s">
        <v>875</v>
      </c>
      <c r="G199" s="19" t="s">
        <v>899</v>
      </c>
      <c r="H199" s="19" t="s">
        <v>924</v>
      </c>
      <c r="I199" s="19" t="s">
        <v>989</v>
      </c>
      <c r="J199" s="19" t="s">
        <v>1004</v>
      </c>
      <c r="K199" s="24">
        <v>45995</v>
      </c>
      <c r="L199" s="19"/>
      <c r="M199" s="19"/>
      <c r="N199" s="21">
        <v>0</v>
      </c>
      <c r="O199" s="23">
        <v>400.6</v>
      </c>
      <c r="P199" s="19" t="s">
        <v>1014</v>
      </c>
      <c r="Q199" s="20">
        <v>0</v>
      </c>
      <c r="R199" s="19" t="s">
        <v>1021</v>
      </c>
      <c r="S199" s="19"/>
    </row>
    <row r="200" spans="1:19">
      <c r="A200" s="19" t="s">
        <v>199</v>
      </c>
      <c r="B200" s="19" t="s">
        <v>823</v>
      </c>
      <c r="C200" s="19" t="s">
        <v>828</v>
      </c>
      <c r="D200" s="20">
        <v>0</v>
      </c>
      <c r="E200" s="19" t="s">
        <v>852</v>
      </c>
      <c r="F200" s="19" t="s">
        <v>876</v>
      </c>
      <c r="G200" s="19" t="s">
        <v>900</v>
      </c>
      <c r="H200" s="19" t="s">
        <v>912</v>
      </c>
      <c r="I200" s="19" t="s">
        <v>989</v>
      </c>
      <c r="J200" s="19" t="s">
        <v>1004</v>
      </c>
      <c r="K200" s="24">
        <v>45995</v>
      </c>
      <c r="L200" s="19"/>
      <c r="M200" s="19"/>
      <c r="N200" s="21">
        <v>0</v>
      </c>
      <c r="O200" s="23">
        <v>533.11</v>
      </c>
      <c r="P200" s="19" t="s">
        <v>1015</v>
      </c>
      <c r="Q200" s="20">
        <v>0</v>
      </c>
      <c r="R200" s="19" t="s">
        <v>1022</v>
      </c>
      <c r="S200" s="19"/>
    </row>
    <row r="201" spans="1:19">
      <c r="A201" s="19" t="s">
        <v>200</v>
      </c>
      <c r="B201" s="19" t="s">
        <v>826</v>
      </c>
      <c r="C201" s="19" t="s">
        <v>831</v>
      </c>
      <c r="D201" s="20">
        <v>1</v>
      </c>
      <c r="E201" s="19" t="s">
        <v>843</v>
      </c>
      <c r="F201" s="19" t="s">
        <v>867</v>
      </c>
      <c r="G201" s="19" t="s">
        <v>891</v>
      </c>
      <c r="H201" s="19" t="s">
        <v>947</v>
      </c>
      <c r="I201" s="19" t="s">
        <v>1000</v>
      </c>
      <c r="J201" s="19" t="s">
        <v>1006</v>
      </c>
      <c r="K201" s="24">
        <v>45995</v>
      </c>
      <c r="L201" s="26">
        <v>45995.61736111111</v>
      </c>
      <c r="M201" s="26">
        <v>45995.77986111111</v>
      </c>
      <c r="N201" s="21">
        <v>3.9</v>
      </c>
      <c r="O201" s="23">
        <v>2303.52</v>
      </c>
      <c r="P201" s="19" t="s">
        <v>1014</v>
      </c>
      <c r="Q201" s="20">
        <v>0</v>
      </c>
      <c r="R201" s="19" t="s">
        <v>1022</v>
      </c>
      <c r="S201" s="19"/>
    </row>
    <row r="202" spans="1:19">
      <c r="A202" s="19" t="s">
        <v>201</v>
      </c>
      <c r="B202" s="19" t="s">
        <v>824</v>
      </c>
      <c r="C202" s="19" t="s">
        <v>829</v>
      </c>
      <c r="D202" s="20">
        <v>0</v>
      </c>
      <c r="E202" s="19" t="s">
        <v>845</v>
      </c>
      <c r="F202" s="19" t="s">
        <v>869</v>
      </c>
      <c r="G202" s="19" t="s">
        <v>893</v>
      </c>
      <c r="H202" s="19" t="s">
        <v>910</v>
      </c>
      <c r="I202" s="19" t="s">
        <v>989</v>
      </c>
      <c r="J202" s="19" t="s">
        <v>1004</v>
      </c>
      <c r="K202" s="24">
        <v>45996</v>
      </c>
      <c r="L202" s="19"/>
      <c r="M202" s="19"/>
      <c r="N202" s="21">
        <v>0</v>
      </c>
      <c r="O202" s="23">
        <v>360</v>
      </c>
      <c r="P202" s="19" t="s">
        <v>1015</v>
      </c>
      <c r="Q202" s="20">
        <v>0</v>
      </c>
      <c r="R202" s="19" t="s">
        <v>1021</v>
      </c>
      <c r="S202" s="19"/>
    </row>
    <row r="203" spans="1:19">
      <c r="A203" s="19" t="s">
        <v>202</v>
      </c>
      <c r="B203" s="19" t="s">
        <v>824</v>
      </c>
      <c r="C203" s="19" t="s">
        <v>829</v>
      </c>
      <c r="D203" s="20">
        <v>0</v>
      </c>
      <c r="E203" s="19" t="s">
        <v>846</v>
      </c>
      <c r="F203" s="19" t="s">
        <v>870</v>
      </c>
      <c r="G203" s="19" t="s">
        <v>894</v>
      </c>
      <c r="H203" s="19" t="s">
        <v>914</v>
      </c>
      <c r="I203" s="19" t="s">
        <v>989</v>
      </c>
      <c r="J203" s="19" t="s">
        <v>1004</v>
      </c>
      <c r="K203" s="24">
        <v>45996</v>
      </c>
      <c r="L203" s="19"/>
      <c r="M203" s="19"/>
      <c r="N203" s="21">
        <v>0</v>
      </c>
      <c r="O203" s="23">
        <v>100</v>
      </c>
      <c r="P203" s="19" t="s">
        <v>1014</v>
      </c>
      <c r="Q203" s="20">
        <v>0</v>
      </c>
      <c r="R203" s="19" t="s">
        <v>1023</v>
      </c>
      <c r="S203" s="19"/>
    </row>
    <row r="204" spans="1:19">
      <c r="A204" s="19" t="s">
        <v>203</v>
      </c>
      <c r="B204" s="19" t="s">
        <v>823</v>
      </c>
      <c r="C204" s="19" t="s">
        <v>828</v>
      </c>
      <c r="D204" s="20">
        <v>0</v>
      </c>
      <c r="E204" s="19" t="s">
        <v>853</v>
      </c>
      <c r="F204" s="19" t="s">
        <v>877</v>
      </c>
      <c r="G204" s="19" t="s">
        <v>901</v>
      </c>
      <c r="H204" s="19" t="s">
        <v>917</v>
      </c>
      <c r="I204" s="19" t="s">
        <v>989</v>
      </c>
      <c r="J204" s="19" t="s">
        <v>1004</v>
      </c>
      <c r="K204" s="24">
        <v>45997</v>
      </c>
      <c r="L204" s="19"/>
      <c r="M204" s="19"/>
      <c r="N204" s="21">
        <v>0</v>
      </c>
      <c r="O204" s="23">
        <v>508.78</v>
      </c>
      <c r="P204" s="19" t="s">
        <v>1015</v>
      </c>
      <c r="Q204" s="20">
        <v>0</v>
      </c>
      <c r="R204" s="19" t="s">
        <v>1022</v>
      </c>
      <c r="S204" s="19"/>
    </row>
    <row r="205" spans="1:19">
      <c r="A205" s="19" t="s">
        <v>204</v>
      </c>
      <c r="B205" s="19" t="s">
        <v>824</v>
      </c>
      <c r="C205" s="19" t="s">
        <v>829</v>
      </c>
      <c r="D205" s="20">
        <v>0</v>
      </c>
      <c r="E205" s="19" t="s">
        <v>851</v>
      </c>
      <c r="F205" s="19" t="s">
        <v>875</v>
      </c>
      <c r="G205" s="19" t="s">
        <v>899</v>
      </c>
      <c r="H205" s="19" t="s">
        <v>908</v>
      </c>
      <c r="I205" s="19" t="s">
        <v>989</v>
      </c>
      <c r="J205" s="19" t="s">
        <v>1004</v>
      </c>
      <c r="K205" s="24">
        <v>45997</v>
      </c>
      <c r="L205" s="19"/>
      <c r="M205" s="19"/>
      <c r="N205" s="21">
        <v>0</v>
      </c>
      <c r="O205" s="23">
        <v>180</v>
      </c>
      <c r="P205" s="19" t="s">
        <v>1014</v>
      </c>
      <c r="Q205" s="20">
        <v>0</v>
      </c>
      <c r="R205" s="19" t="s">
        <v>1022</v>
      </c>
      <c r="S205" s="19"/>
    </row>
    <row r="206" spans="1:19">
      <c r="A206" s="19" t="s">
        <v>205</v>
      </c>
      <c r="B206" s="19" t="s">
        <v>825</v>
      </c>
      <c r="C206" s="19" t="s">
        <v>830</v>
      </c>
      <c r="D206" s="20">
        <v>1</v>
      </c>
      <c r="E206" s="19" t="s">
        <v>844</v>
      </c>
      <c r="F206" s="19" t="s">
        <v>868</v>
      </c>
      <c r="G206" s="19" t="s">
        <v>892</v>
      </c>
      <c r="H206" s="19" t="s">
        <v>921</v>
      </c>
      <c r="I206" s="19" t="s">
        <v>996</v>
      </c>
      <c r="J206" s="19" t="s">
        <v>1005</v>
      </c>
      <c r="K206" s="24">
        <v>45997</v>
      </c>
      <c r="L206" s="26">
        <v>45997.77430555555</v>
      </c>
      <c r="M206" s="26">
        <v>45997.84097222222</v>
      </c>
      <c r="N206" s="21">
        <v>1.6</v>
      </c>
      <c r="O206" s="23">
        <v>2661.51</v>
      </c>
      <c r="P206" s="19" t="s">
        <v>1015</v>
      </c>
      <c r="Q206" s="20">
        <v>0</v>
      </c>
      <c r="R206" s="19" t="s">
        <v>1023</v>
      </c>
      <c r="S206" s="19" t="s">
        <v>1028</v>
      </c>
    </row>
    <row r="207" spans="1:19">
      <c r="A207" s="19" t="s">
        <v>206</v>
      </c>
      <c r="B207" s="19" t="s">
        <v>823</v>
      </c>
      <c r="C207" s="19" t="s">
        <v>828</v>
      </c>
      <c r="D207" s="20">
        <v>0</v>
      </c>
      <c r="E207" s="19" t="s">
        <v>850</v>
      </c>
      <c r="F207" s="19" t="s">
        <v>874</v>
      </c>
      <c r="G207" s="19" t="s">
        <v>898</v>
      </c>
      <c r="H207" s="19" t="s">
        <v>911</v>
      </c>
      <c r="I207" s="19" t="s">
        <v>989</v>
      </c>
      <c r="J207" s="19" t="s">
        <v>1004</v>
      </c>
      <c r="K207" s="24">
        <v>45998</v>
      </c>
      <c r="L207" s="19"/>
      <c r="M207" s="19"/>
      <c r="N207" s="21">
        <v>0</v>
      </c>
      <c r="O207" s="23">
        <v>226.09</v>
      </c>
      <c r="P207" s="19" t="s">
        <v>1014</v>
      </c>
      <c r="Q207" s="20">
        <v>0</v>
      </c>
      <c r="R207" s="19" t="s">
        <v>1021</v>
      </c>
      <c r="S207" s="19"/>
    </row>
    <row r="208" spans="1:19">
      <c r="A208" s="19" t="s">
        <v>207</v>
      </c>
      <c r="B208" s="19" t="s">
        <v>823</v>
      </c>
      <c r="C208" s="19" t="s">
        <v>828</v>
      </c>
      <c r="D208" s="20">
        <v>0</v>
      </c>
      <c r="E208" s="19" t="s">
        <v>847</v>
      </c>
      <c r="F208" s="19" t="s">
        <v>871</v>
      </c>
      <c r="G208" s="19" t="s">
        <v>895</v>
      </c>
      <c r="H208" s="19" t="s">
        <v>911</v>
      </c>
      <c r="I208" s="19" t="s">
        <v>989</v>
      </c>
      <c r="J208" s="19" t="s">
        <v>1004</v>
      </c>
      <c r="K208" s="24">
        <v>45998</v>
      </c>
      <c r="L208" s="19"/>
      <c r="M208" s="19"/>
      <c r="N208" s="21">
        <v>0</v>
      </c>
      <c r="O208" s="23">
        <v>559.55</v>
      </c>
      <c r="P208" s="19" t="s">
        <v>1014</v>
      </c>
      <c r="Q208" s="20">
        <v>0</v>
      </c>
      <c r="R208" s="19" t="s">
        <v>1021</v>
      </c>
      <c r="S208" s="19"/>
    </row>
    <row r="209" spans="1:19">
      <c r="A209" s="19" t="s">
        <v>208</v>
      </c>
      <c r="B209" s="19" t="s">
        <v>823</v>
      </c>
      <c r="C209" s="19" t="s">
        <v>828</v>
      </c>
      <c r="D209" s="20">
        <v>0</v>
      </c>
      <c r="E209" s="19" t="s">
        <v>841</v>
      </c>
      <c r="F209" s="19" t="s">
        <v>865</v>
      </c>
      <c r="G209" s="19" t="s">
        <v>889</v>
      </c>
      <c r="H209" s="19" t="s">
        <v>912</v>
      </c>
      <c r="I209" s="19" t="s">
        <v>989</v>
      </c>
      <c r="J209" s="19" t="s">
        <v>1004</v>
      </c>
      <c r="K209" s="24">
        <v>45999</v>
      </c>
      <c r="L209" s="19"/>
      <c r="M209" s="19"/>
      <c r="N209" s="21">
        <v>0</v>
      </c>
      <c r="O209" s="23">
        <v>1373.33</v>
      </c>
      <c r="P209" s="19" t="s">
        <v>1015</v>
      </c>
      <c r="Q209" s="20">
        <v>0</v>
      </c>
      <c r="R209" s="19" t="s">
        <v>1022</v>
      </c>
      <c r="S209" s="19"/>
    </row>
    <row r="210" spans="1:19">
      <c r="A210" s="19" t="s">
        <v>209</v>
      </c>
      <c r="B210" s="19" t="s">
        <v>823</v>
      </c>
      <c r="C210" s="19" t="s">
        <v>828</v>
      </c>
      <c r="D210" s="20">
        <v>0</v>
      </c>
      <c r="E210" s="19" t="s">
        <v>854</v>
      </c>
      <c r="F210" s="19" t="s">
        <v>878</v>
      </c>
      <c r="G210" s="19" t="s">
        <v>902</v>
      </c>
      <c r="H210" s="19" t="s">
        <v>924</v>
      </c>
      <c r="I210" s="19" t="s">
        <v>989</v>
      </c>
      <c r="J210" s="19" t="s">
        <v>1004</v>
      </c>
      <c r="K210" s="24">
        <v>46001</v>
      </c>
      <c r="L210" s="19"/>
      <c r="M210" s="19"/>
      <c r="N210" s="21">
        <v>0</v>
      </c>
      <c r="O210" s="23">
        <v>757.95</v>
      </c>
      <c r="P210" s="19" t="s">
        <v>1014</v>
      </c>
      <c r="Q210" s="20">
        <v>0</v>
      </c>
      <c r="R210" s="19" t="s">
        <v>1023</v>
      </c>
      <c r="S210" s="19"/>
    </row>
    <row r="211" spans="1:19">
      <c r="A211" s="19" t="s">
        <v>210</v>
      </c>
      <c r="B211" s="19" t="s">
        <v>823</v>
      </c>
      <c r="C211" s="19" t="s">
        <v>828</v>
      </c>
      <c r="D211" s="20">
        <v>0</v>
      </c>
      <c r="E211" s="19" t="s">
        <v>836</v>
      </c>
      <c r="F211" s="19" t="s">
        <v>860</v>
      </c>
      <c r="G211" s="19" t="s">
        <v>884</v>
      </c>
      <c r="H211" s="19" t="s">
        <v>924</v>
      </c>
      <c r="I211" s="19" t="s">
        <v>989</v>
      </c>
      <c r="J211" s="19" t="s">
        <v>1004</v>
      </c>
      <c r="K211" s="24">
        <v>46001</v>
      </c>
      <c r="L211" s="19"/>
      <c r="M211" s="19"/>
      <c r="N211" s="21">
        <v>0</v>
      </c>
      <c r="O211" s="23">
        <v>253.35</v>
      </c>
      <c r="P211" s="19" t="s">
        <v>1014</v>
      </c>
      <c r="Q211" s="20">
        <v>0</v>
      </c>
      <c r="R211" s="19" t="s">
        <v>1021</v>
      </c>
      <c r="S211" s="19"/>
    </row>
    <row r="212" spans="1:19">
      <c r="A212" s="19" t="s">
        <v>211</v>
      </c>
      <c r="B212" s="19" t="s">
        <v>824</v>
      </c>
      <c r="C212" s="19" t="s">
        <v>829</v>
      </c>
      <c r="D212" s="20">
        <v>0</v>
      </c>
      <c r="E212" s="19" t="s">
        <v>834</v>
      </c>
      <c r="F212" s="19" t="s">
        <v>858</v>
      </c>
      <c r="G212" s="19" t="s">
        <v>882</v>
      </c>
      <c r="H212" s="19" t="s">
        <v>914</v>
      </c>
      <c r="I212" s="19" t="s">
        <v>989</v>
      </c>
      <c r="J212" s="19" t="s">
        <v>1004</v>
      </c>
      <c r="K212" s="24">
        <v>46001</v>
      </c>
      <c r="L212" s="19"/>
      <c r="M212" s="19"/>
      <c r="N212" s="21">
        <v>0</v>
      </c>
      <c r="O212" s="23">
        <v>120</v>
      </c>
      <c r="P212" s="19" t="s">
        <v>1015</v>
      </c>
      <c r="Q212" s="20">
        <v>0</v>
      </c>
      <c r="R212" s="19" t="s">
        <v>1021</v>
      </c>
      <c r="S212" s="19"/>
    </row>
    <row r="213" spans="1:19">
      <c r="A213" s="19" t="s">
        <v>212</v>
      </c>
      <c r="B213" s="19" t="s">
        <v>823</v>
      </c>
      <c r="C213" s="19" t="s">
        <v>828</v>
      </c>
      <c r="D213" s="20">
        <v>0</v>
      </c>
      <c r="E213" s="19" t="s">
        <v>837</v>
      </c>
      <c r="F213" s="19" t="s">
        <v>861</v>
      </c>
      <c r="G213" s="19" t="s">
        <v>885</v>
      </c>
      <c r="H213" s="19" t="s">
        <v>912</v>
      </c>
      <c r="I213" s="19" t="s">
        <v>989</v>
      </c>
      <c r="J213" s="19" t="s">
        <v>1004</v>
      </c>
      <c r="K213" s="24">
        <v>46002</v>
      </c>
      <c r="L213" s="19"/>
      <c r="M213" s="19"/>
      <c r="N213" s="21">
        <v>0</v>
      </c>
      <c r="O213" s="23">
        <v>452.26</v>
      </c>
      <c r="P213" s="19" t="s">
        <v>1014</v>
      </c>
      <c r="Q213" s="20">
        <v>0</v>
      </c>
      <c r="R213" s="19" t="s">
        <v>1023</v>
      </c>
      <c r="S213" s="19"/>
    </row>
    <row r="214" spans="1:19">
      <c r="A214" s="19" t="s">
        <v>213</v>
      </c>
      <c r="B214" s="19" t="s">
        <v>824</v>
      </c>
      <c r="C214" s="19" t="s">
        <v>829</v>
      </c>
      <c r="D214" s="20">
        <v>0</v>
      </c>
      <c r="E214" s="19" t="s">
        <v>852</v>
      </c>
      <c r="F214" s="19" t="s">
        <v>876</v>
      </c>
      <c r="G214" s="19" t="s">
        <v>900</v>
      </c>
      <c r="H214" s="19" t="s">
        <v>925</v>
      </c>
      <c r="I214" s="19" t="s">
        <v>989</v>
      </c>
      <c r="J214" s="19" t="s">
        <v>1004</v>
      </c>
      <c r="K214" s="24">
        <v>46002</v>
      </c>
      <c r="L214" s="19"/>
      <c r="M214" s="19"/>
      <c r="N214" s="21">
        <v>0</v>
      </c>
      <c r="O214" s="23">
        <v>280</v>
      </c>
      <c r="P214" s="19" t="s">
        <v>1015</v>
      </c>
      <c r="Q214" s="20">
        <v>0</v>
      </c>
      <c r="R214" s="19" t="s">
        <v>1022</v>
      </c>
      <c r="S214" s="19"/>
    </row>
    <row r="215" spans="1:19">
      <c r="A215" s="19" t="s">
        <v>214</v>
      </c>
      <c r="B215" s="19" t="s">
        <v>823</v>
      </c>
      <c r="C215" s="19" t="s">
        <v>828</v>
      </c>
      <c r="D215" s="20">
        <v>0</v>
      </c>
      <c r="E215" s="19" t="s">
        <v>845</v>
      </c>
      <c r="F215" s="19" t="s">
        <v>869</v>
      </c>
      <c r="G215" s="19" t="s">
        <v>893</v>
      </c>
      <c r="H215" s="19" t="s">
        <v>917</v>
      </c>
      <c r="I215" s="19" t="s">
        <v>989</v>
      </c>
      <c r="J215" s="19" t="s">
        <v>1004</v>
      </c>
      <c r="K215" s="24">
        <v>46003</v>
      </c>
      <c r="L215" s="19"/>
      <c r="M215" s="19"/>
      <c r="N215" s="21">
        <v>0</v>
      </c>
      <c r="O215" s="23">
        <v>1109.33</v>
      </c>
      <c r="P215" s="19" t="s">
        <v>1014</v>
      </c>
      <c r="Q215" s="20">
        <v>0</v>
      </c>
      <c r="R215" s="19" t="s">
        <v>1022</v>
      </c>
      <c r="S215" s="19"/>
    </row>
    <row r="216" spans="1:19">
      <c r="A216" s="19" t="s">
        <v>215</v>
      </c>
      <c r="B216" s="19" t="s">
        <v>823</v>
      </c>
      <c r="C216" s="19" t="s">
        <v>828</v>
      </c>
      <c r="D216" s="20">
        <v>0</v>
      </c>
      <c r="E216" s="19" t="s">
        <v>834</v>
      </c>
      <c r="F216" s="19" t="s">
        <v>858</v>
      </c>
      <c r="G216" s="19" t="s">
        <v>882</v>
      </c>
      <c r="H216" s="19" t="s">
        <v>907</v>
      </c>
      <c r="I216" s="19" t="s">
        <v>989</v>
      </c>
      <c r="J216" s="19" t="s">
        <v>1004</v>
      </c>
      <c r="K216" s="24">
        <v>46003</v>
      </c>
      <c r="L216" s="19"/>
      <c r="M216" s="19"/>
      <c r="N216" s="21">
        <v>0</v>
      </c>
      <c r="O216" s="23">
        <v>427.37</v>
      </c>
      <c r="P216" s="19" t="s">
        <v>1014</v>
      </c>
      <c r="Q216" s="20">
        <v>0</v>
      </c>
      <c r="R216" s="19" t="s">
        <v>1021</v>
      </c>
      <c r="S216" s="19"/>
    </row>
    <row r="217" spans="1:19">
      <c r="A217" s="19" t="s">
        <v>216</v>
      </c>
      <c r="B217" s="19" t="s">
        <v>823</v>
      </c>
      <c r="C217" s="19" t="s">
        <v>828</v>
      </c>
      <c r="D217" s="20">
        <v>0</v>
      </c>
      <c r="E217" s="19" t="s">
        <v>842</v>
      </c>
      <c r="F217" s="19" t="s">
        <v>866</v>
      </c>
      <c r="G217" s="19" t="s">
        <v>890</v>
      </c>
      <c r="H217" s="19" t="s">
        <v>911</v>
      </c>
      <c r="I217" s="19" t="s">
        <v>989</v>
      </c>
      <c r="J217" s="19" t="s">
        <v>1004</v>
      </c>
      <c r="K217" s="24">
        <v>46003</v>
      </c>
      <c r="L217" s="19"/>
      <c r="M217" s="19"/>
      <c r="N217" s="21">
        <v>0</v>
      </c>
      <c r="O217" s="23">
        <v>789.3</v>
      </c>
      <c r="P217" s="19" t="s">
        <v>1015</v>
      </c>
      <c r="Q217" s="20">
        <v>0</v>
      </c>
      <c r="R217" s="19" t="s">
        <v>1022</v>
      </c>
      <c r="S217" s="19"/>
    </row>
    <row r="218" spans="1:19">
      <c r="A218" s="19" t="s">
        <v>217</v>
      </c>
      <c r="B218" s="19" t="s">
        <v>825</v>
      </c>
      <c r="C218" s="19" t="s">
        <v>830</v>
      </c>
      <c r="D218" s="20">
        <v>1</v>
      </c>
      <c r="E218" s="19" t="s">
        <v>847</v>
      </c>
      <c r="F218" s="19" t="s">
        <v>871</v>
      </c>
      <c r="G218" s="19" t="s">
        <v>895</v>
      </c>
      <c r="H218" s="19" t="s">
        <v>935</v>
      </c>
      <c r="I218" s="19" t="s">
        <v>991</v>
      </c>
      <c r="J218" s="19" t="s">
        <v>1006</v>
      </c>
      <c r="K218" s="24">
        <v>46003</v>
      </c>
      <c r="L218" s="26">
        <v>46003.45555555556</v>
      </c>
      <c r="M218" s="26">
        <v>46003.60138888889</v>
      </c>
      <c r="N218" s="21">
        <v>0</v>
      </c>
      <c r="O218" s="23">
        <v>6144.84</v>
      </c>
      <c r="P218" s="19" t="s">
        <v>1014</v>
      </c>
      <c r="Q218" s="20">
        <v>0</v>
      </c>
      <c r="R218" s="19" t="s">
        <v>1023</v>
      </c>
      <c r="S218" s="19"/>
    </row>
    <row r="219" spans="1:19">
      <c r="A219" s="19" t="s">
        <v>218</v>
      </c>
      <c r="B219" s="19" t="s">
        <v>825</v>
      </c>
      <c r="C219" s="19" t="s">
        <v>830</v>
      </c>
      <c r="D219" s="20">
        <v>1</v>
      </c>
      <c r="E219" s="19" t="s">
        <v>846</v>
      </c>
      <c r="F219" s="19" t="s">
        <v>870</v>
      </c>
      <c r="G219" s="19" t="s">
        <v>894</v>
      </c>
      <c r="H219" s="19" t="s">
        <v>934</v>
      </c>
      <c r="I219" s="19" t="s">
        <v>993</v>
      </c>
      <c r="J219" s="19" t="s">
        <v>1006</v>
      </c>
      <c r="K219" s="24">
        <v>46003</v>
      </c>
      <c r="L219" s="26">
        <v>46003.70555555556</v>
      </c>
      <c r="M219" s="26">
        <v>46003.84305555555</v>
      </c>
      <c r="N219" s="21">
        <v>0</v>
      </c>
      <c r="O219" s="23">
        <v>4683.1</v>
      </c>
      <c r="P219" s="19" t="s">
        <v>1015</v>
      </c>
      <c r="Q219" s="20">
        <v>0</v>
      </c>
      <c r="R219" s="19" t="s">
        <v>1023</v>
      </c>
      <c r="S219" s="19"/>
    </row>
    <row r="220" spans="1:19">
      <c r="A220" s="19" t="s">
        <v>219</v>
      </c>
      <c r="B220" s="19" t="s">
        <v>823</v>
      </c>
      <c r="C220" s="19" t="s">
        <v>828</v>
      </c>
      <c r="D220" s="20">
        <v>0</v>
      </c>
      <c r="E220" s="19" t="s">
        <v>855</v>
      </c>
      <c r="F220" s="19" t="s">
        <v>879</v>
      </c>
      <c r="G220" s="19" t="s">
        <v>903</v>
      </c>
      <c r="H220" s="19" t="s">
        <v>906</v>
      </c>
      <c r="I220" s="19" t="s">
        <v>989</v>
      </c>
      <c r="J220" s="19" t="s">
        <v>1004</v>
      </c>
      <c r="K220" s="24">
        <v>46004</v>
      </c>
      <c r="L220" s="19"/>
      <c r="M220" s="19"/>
      <c r="N220" s="21">
        <v>0</v>
      </c>
      <c r="O220" s="23">
        <v>291.99</v>
      </c>
      <c r="P220" s="19" t="s">
        <v>1014</v>
      </c>
      <c r="Q220" s="20">
        <v>0</v>
      </c>
      <c r="R220" s="19" t="s">
        <v>1022</v>
      </c>
      <c r="S220" s="19"/>
    </row>
    <row r="221" spans="1:19">
      <c r="A221" s="19" t="s">
        <v>220</v>
      </c>
      <c r="B221" s="19" t="s">
        <v>824</v>
      </c>
      <c r="C221" s="19" t="s">
        <v>829</v>
      </c>
      <c r="D221" s="20">
        <v>0</v>
      </c>
      <c r="E221" s="19" t="s">
        <v>850</v>
      </c>
      <c r="F221" s="19" t="s">
        <v>874</v>
      </c>
      <c r="G221" s="19" t="s">
        <v>898</v>
      </c>
      <c r="H221" s="19" t="s">
        <v>914</v>
      </c>
      <c r="I221" s="19" t="s">
        <v>989</v>
      </c>
      <c r="J221" s="19" t="s">
        <v>1004</v>
      </c>
      <c r="K221" s="24">
        <v>46004</v>
      </c>
      <c r="L221" s="19"/>
      <c r="M221" s="19"/>
      <c r="N221" s="21">
        <v>0</v>
      </c>
      <c r="O221" s="23">
        <v>100</v>
      </c>
      <c r="P221" s="19" t="s">
        <v>1015</v>
      </c>
      <c r="Q221" s="20">
        <v>0</v>
      </c>
      <c r="R221" s="19" t="s">
        <v>1021</v>
      </c>
      <c r="S221" s="19"/>
    </row>
    <row r="222" spans="1:19">
      <c r="A222" s="19" t="s">
        <v>221</v>
      </c>
      <c r="B222" s="19" t="s">
        <v>825</v>
      </c>
      <c r="C222" s="19" t="s">
        <v>830</v>
      </c>
      <c r="D222" s="20">
        <v>1</v>
      </c>
      <c r="E222" s="19" t="s">
        <v>844</v>
      </c>
      <c r="F222" s="19" t="s">
        <v>868</v>
      </c>
      <c r="G222" s="19" t="s">
        <v>892</v>
      </c>
      <c r="H222" s="19" t="s">
        <v>948</v>
      </c>
      <c r="I222" s="19" t="s">
        <v>996</v>
      </c>
      <c r="J222" s="19" t="s">
        <v>1005</v>
      </c>
      <c r="K222" s="24">
        <v>46004</v>
      </c>
      <c r="L222" s="26">
        <v>46004.92361111111</v>
      </c>
      <c r="M222" s="26">
        <v>46005.06944444445</v>
      </c>
      <c r="N222" s="21">
        <v>0</v>
      </c>
      <c r="O222" s="23">
        <v>2179.63</v>
      </c>
      <c r="P222" s="19" t="s">
        <v>1015</v>
      </c>
      <c r="Q222" s="20">
        <v>0</v>
      </c>
      <c r="R222" s="19" t="s">
        <v>1021</v>
      </c>
      <c r="S222" s="19" t="s">
        <v>1028</v>
      </c>
    </row>
    <row r="223" spans="1:19">
      <c r="A223" s="19" t="s">
        <v>222</v>
      </c>
      <c r="B223" s="19" t="s">
        <v>826</v>
      </c>
      <c r="C223" s="19" t="s">
        <v>831</v>
      </c>
      <c r="D223" s="20">
        <v>1</v>
      </c>
      <c r="E223" s="19" t="s">
        <v>854</v>
      </c>
      <c r="F223" s="19" t="s">
        <v>878</v>
      </c>
      <c r="G223" s="19" t="s">
        <v>902</v>
      </c>
      <c r="H223" s="19" t="s">
        <v>949</v>
      </c>
      <c r="I223" s="19" t="s">
        <v>998</v>
      </c>
      <c r="J223" s="19" t="s">
        <v>1005</v>
      </c>
      <c r="K223" s="24">
        <v>46005</v>
      </c>
      <c r="L223" s="26">
        <v>46005.44722222222</v>
      </c>
      <c r="M223" s="26">
        <v>46005.63055555556</v>
      </c>
      <c r="N223" s="21">
        <v>4.4</v>
      </c>
      <c r="O223" s="23">
        <v>3890.7</v>
      </c>
      <c r="P223" s="19" t="s">
        <v>1014</v>
      </c>
      <c r="Q223" s="20">
        <v>0</v>
      </c>
      <c r="R223" s="19" t="s">
        <v>1024</v>
      </c>
      <c r="S223" s="19" t="s">
        <v>1030</v>
      </c>
    </row>
    <row r="224" spans="1:19">
      <c r="A224" s="19" t="s">
        <v>223</v>
      </c>
      <c r="B224" s="19" t="s">
        <v>824</v>
      </c>
      <c r="C224" s="19" t="s">
        <v>829</v>
      </c>
      <c r="D224" s="20">
        <v>0</v>
      </c>
      <c r="E224" s="19" t="s">
        <v>854</v>
      </c>
      <c r="F224" s="19" t="s">
        <v>878</v>
      </c>
      <c r="G224" s="19" t="s">
        <v>902</v>
      </c>
      <c r="H224" s="19" t="s">
        <v>908</v>
      </c>
      <c r="I224" s="19" t="s">
        <v>989</v>
      </c>
      <c r="J224" s="19" t="s">
        <v>1004</v>
      </c>
      <c r="K224" s="24">
        <v>46006</v>
      </c>
      <c r="L224" s="19"/>
      <c r="M224" s="19"/>
      <c r="N224" s="21">
        <v>0</v>
      </c>
      <c r="O224" s="23">
        <v>120</v>
      </c>
      <c r="P224" s="19" t="s">
        <v>1014</v>
      </c>
      <c r="Q224" s="20">
        <v>0</v>
      </c>
      <c r="R224" s="19" t="s">
        <v>1022</v>
      </c>
      <c r="S224" s="19"/>
    </row>
    <row r="225" spans="1:19">
      <c r="A225" s="19" t="s">
        <v>224</v>
      </c>
      <c r="B225" s="19" t="s">
        <v>823</v>
      </c>
      <c r="C225" s="19" t="s">
        <v>828</v>
      </c>
      <c r="D225" s="20">
        <v>0</v>
      </c>
      <c r="E225" s="19" t="s">
        <v>839</v>
      </c>
      <c r="F225" s="19" t="s">
        <v>863</v>
      </c>
      <c r="G225" s="19" t="s">
        <v>887</v>
      </c>
      <c r="H225" s="19" t="s">
        <v>924</v>
      </c>
      <c r="I225" s="19" t="s">
        <v>989</v>
      </c>
      <c r="J225" s="19" t="s">
        <v>1004</v>
      </c>
      <c r="K225" s="24">
        <v>46007</v>
      </c>
      <c r="L225" s="19"/>
      <c r="M225" s="19"/>
      <c r="N225" s="21">
        <v>0</v>
      </c>
      <c r="O225" s="23">
        <v>424.57</v>
      </c>
      <c r="P225" s="19" t="s">
        <v>1014</v>
      </c>
      <c r="Q225" s="20">
        <v>0</v>
      </c>
      <c r="R225" s="19" t="s">
        <v>1023</v>
      </c>
      <c r="S225" s="19"/>
    </row>
    <row r="226" spans="1:19">
      <c r="A226" s="19" t="s">
        <v>225</v>
      </c>
      <c r="B226" s="19" t="s">
        <v>825</v>
      </c>
      <c r="C226" s="19" t="s">
        <v>830</v>
      </c>
      <c r="D226" s="20">
        <v>1</v>
      </c>
      <c r="E226" s="19" t="s">
        <v>841</v>
      </c>
      <c r="F226" s="19" t="s">
        <v>865</v>
      </c>
      <c r="G226" s="19" t="s">
        <v>889</v>
      </c>
      <c r="H226" s="19" t="s">
        <v>919</v>
      </c>
      <c r="I226" s="19" t="s">
        <v>993</v>
      </c>
      <c r="J226" s="19" t="s">
        <v>1005</v>
      </c>
      <c r="K226" s="24">
        <v>46007</v>
      </c>
      <c r="L226" s="26">
        <v>46007.30347222222</v>
      </c>
      <c r="M226" s="26">
        <v>46007.70347222222</v>
      </c>
      <c r="N226" s="21">
        <v>9.6</v>
      </c>
      <c r="O226" s="23">
        <v>30516.68</v>
      </c>
      <c r="P226" s="19" t="s">
        <v>1014</v>
      </c>
      <c r="Q226" s="20">
        <v>0</v>
      </c>
      <c r="R226" s="19" t="s">
        <v>1021</v>
      </c>
      <c r="S226" s="19" t="s">
        <v>1027</v>
      </c>
    </row>
    <row r="227" spans="1:19">
      <c r="A227" s="19" t="s">
        <v>226</v>
      </c>
      <c r="B227" s="19" t="s">
        <v>824</v>
      </c>
      <c r="C227" s="19" t="s">
        <v>829</v>
      </c>
      <c r="D227" s="20">
        <v>0</v>
      </c>
      <c r="E227" s="19" t="s">
        <v>844</v>
      </c>
      <c r="F227" s="19" t="s">
        <v>868</v>
      </c>
      <c r="G227" s="19" t="s">
        <v>892</v>
      </c>
      <c r="H227" s="19" t="s">
        <v>925</v>
      </c>
      <c r="I227" s="19" t="s">
        <v>989</v>
      </c>
      <c r="J227" s="19" t="s">
        <v>1004</v>
      </c>
      <c r="K227" s="24">
        <v>46007</v>
      </c>
      <c r="L227" s="19"/>
      <c r="M227" s="19"/>
      <c r="N227" s="21">
        <v>0</v>
      </c>
      <c r="O227" s="23">
        <v>140</v>
      </c>
      <c r="P227" s="19" t="s">
        <v>1015</v>
      </c>
      <c r="Q227" s="20">
        <v>0</v>
      </c>
      <c r="R227" s="19" t="s">
        <v>1023</v>
      </c>
      <c r="S227" s="19"/>
    </row>
    <row r="228" spans="1:19">
      <c r="A228" s="19" t="s">
        <v>227</v>
      </c>
      <c r="B228" s="19" t="s">
        <v>824</v>
      </c>
      <c r="C228" s="19" t="s">
        <v>829</v>
      </c>
      <c r="D228" s="20">
        <v>0</v>
      </c>
      <c r="E228" s="19" t="s">
        <v>849</v>
      </c>
      <c r="F228" s="19" t="s">
        <v>873</v>
      </c>
      <c r="G228" s="19" t="s">
        <v>897</v>
      </c>
      <c r="H228" s="19" t="s">
        <v>914</v>
      </c>
      <c r="I228" s="19" t="s">
        <v>989</v>
      </c>
      <c r="J228" s="19" t="s">
        <v>1004</v>
      </c>
      <c r="K228" s="24">
        <v>46007</v>
      </c>
      <c r="L228" s="19"/>
      <c r="M228" s="19"/>
      <c r="N228" s="21">
        <v>0</v>
      </c>
      <c r="O228" s="23">
        <v>320</v>
      </c>
      <c r="P228" s="19" t="s">
        <v>1015</v>
      </c>
      <c r="Q228" s="20">
        <v>0</v>
      </c>
      <c r="R228" s="19" t="s">
        <v>1023</v>
      </c>
      <c r="S228" s="19"/>
    </row>
    <row r="229" spans="1:19">
      <c r="A229" s="19" t="s">
        <v>228</v>
      </c>
      <c r="B229" s="19" t="s">
        <v>825</v>
      </c>
      <c r="C229" s="19" t="s">
        <v>830</v>
      </c>
      <c r="D229" s="20">
        <v>1</v>
      </c>
      <c r="E229" s="19" t="s">
        <v>844</v>
      </c>
      <c r="F229" s="19" t="s">
        <v>868</v>
      </c>
      <c r="G229" s="19" t="s">
        <v>892</v>
      </c>
      <c r="H229" s="19" t="s">
        <v>950</v>
      </c>
      <c r="I229" s="19" t="s">
        <v>996</v>
      </c>
      <c r="J229" s="19" t="s">
        <v>1005</v>
      </c>
      <c r="K229" s="24">
        <v>46007</v>
      </c>
      <c r="L229" s="26">
        <v>46007.48402777778</v>
      </c>
      <c r="M229" s="26">
        <v>46007.58819444444</v>
      </c>
      <c r="N229" s="21">
        <v>0</v>
      </c>
      <c r="O229" s="23">
        <v>2670.23</v>
      </c>
      <c r="P229" s="19" t="s">
        <v>1014</v>
      </c>
      <c r="Q229" s="20">
        <v>0</v>
      </c>
      <c r="R229" s="19" t="s">
        <v>1022</v>
      </c>
      <c r="S229" s="19" t="s">
        <v>1028</v>
      </c>
    </row>
    <row r="230" spans="1:19">
      <c r="A230" s="19" t="s">
        <v>229</v>
      </c>
      <c r="B230" s="19" t="s">
        <v>823</v>
      </c>
      <c r="C230" s="19" t="s">
        <v>828</v>
      </c>
      <c r="D230" s="20">
        <v>0</v>
      </c>
      <c r="E230" s="19" t="s">
        <v>856</v>
      </c>
      <c r="F230" s="19" t="s">
        <v>880</v>
      </c>
      <c r="G230" s="19" t="s">
        <v>904</v>
      </c>
      <c r="H230" s="19" t="s">
        <v>906</v>
      </c>
      <c r="I230" s="19" t="s">
        <v>989</v>
      </c>
      <c r="J230" s="19" t="s">
        <v>1004</v>
      </c>
      <c r="K230" s="24">
        <v>46008</v>
      </c>
      <c r="L230" s="19"/>
      <c r="M230" s="19"/>
      <c r="N230" s="21">
        <v>0</v>
      </c>
      <c r="O230" s="23">
        <v>187.59</v>
      </c>
      <c r="P230" s="19" t="s">
        <v>1014</v>
      </c>
      <c r="Q230" s="20">
        <v>0</v>
      </c>
      <c r="R230" s="19" t="s">
        <v>1021</v>
      </c>
      <c r="S230" s="19"/>
    </row>
    <row r="231" spans="1:19">
      <c r="A231" s="19" t="s">
        <v>230</v>
      </c>
      <c r="B231" s="19" t="s">
        <v>825</v>
      </c>
      <c r="C231" s="19" t="s">
        <v>830</v>
      </c>
      <c r="D231" s="20">
        <v>1</v>
      </c>
      <c r="E231" s="19" t="s">
        <v>851</v>
      </c>
      <c r="F231" s="19" t="s">
        <v>875</v>
      </c>
      <c r="G231" s="19" t="s">
        <v>899</v>
      </c>
      <c r="H231" s="19" t="s">
        <v>947</v>
      </c>
      <c r="I231" s="19" t="s">
        <v>1000</v>
      </c>
      <c r="J231" s="19" t="s">
        <v>1006</v>
      </c>
      <c r="K231" s="24">
        <v>46008</v>
      </c>
      <c r="L231" s="26">
        <v>46008.29930555556</v>
      </c>
      <c r="M231" s="26">
        <v>46008.59513888889</v>
      </c>
      <c r="N231" s="21">
        <v>7.1</v>
      </c>
      <c r="O231" s="23">
        <v>2557.51</v>
      </c>
      <c r="P231" s="19" t="s">
        <v>1014</v>
      </c>
      <c r="Q231" s="20">
        <v>0</v>
      </c>
      <c r="R231" s="19" t="s">
        <v>1022</v>
      </c>
      <c r="S231" s="19"/>
    </row>
    <row r="232" spans="1:19">
      <c r="A232" s="19" t="s">
        <v>231</v>
      </c>
      <c r="B232" s="19" t="s">
        <v>823</v>
      </c>
      <c r="C232" s="19" t="s">
        <v>828</v>
      </c>
      <c r="D232" s="20">
        <v>0</v>
      </c>
      <c r="E232" s="19" t="s">
        <v>835</v>
      </c>
      <c r="F232" s="19" t="s">
        <v>859</v>
      </c>
      <c r="G232" s="19" t="s">
        <v>883</v>
      </c>
      <c r="H232" s="19" t="s">
        <v>917</v>
      </c>
      <c r="I232" s="19" t="s">
        <v>989</v>
      </c>
      <c r="J232" s="19" t="s">
        <v>1004</v>
      </c>
      <c r="K232" s="24">
        <v>46009</v>
      </c>
      <c r="L232" s="19"/>
      <c r="M232" s="19"/>
      <c r="N232" s="21">
        <v>0</v>
      </c>
      <c r="O232" s="23">
        <v>471.25</v>
      </c>
      <c r="P232" s="19" t="s">
        <v>1014</v>
      </c>
      <c r="Q232" s="20">
        <v>0</v>
      </c>
      <c r="R232" s="19" t="s">
        <v>1021</v>
      </c>
      <c r="S232" s="19"/>
    </row>
    <row r="233" spans="1:19">
      <c r="A233" s="19" t="s">
        <v>232</v>
      </c>
      <c r="B233" s="19" t="s">
        <v>825</v>
      </c>
      <c r="C233" s="19" t="s">
        <v>830</v>
      </c>
      <c r="D233" s="20">
        <v>1</v>
      </c>
      <c r="E233" s="19" t="s">
        <v>851</v>
      </c>
      <c r="F233" s="19" t="s">
        <v>875</v>
      </c>
      <c r="G233" s="19" t="s">
        <v>899</v>
      </c>
      <c r="H233" s="19" t="s">
        <v>951</v>
      </c>
      <c r="I233" s="19" t="s">
        <v>992</v>
      </c>
      <c r="J233" s="19" t="s">
        <v>1006</v>
      </c>
      <c r="K233" s="24">
        <v>46009</v>
      </c>
      <c r="L233" s="26">
        <v>46009.35902777778</v>
      </c>
      <c r="M233" s="26">
        <v>46009.85902777778</v>
      </c>
      <c r="N233" s="21">
        <v>12</v>
      </c>
      <c r="O233" s="23">
        <v>3571.24</v>
      </c>
      <c r="P233" s="19" t="s">
        <v>1015</v>
      </c>
      <c r="Q233" s="20">
        <v>0</v>
      </c>
      <c r="R233" s="19" t="s">
        <v>1023</v>
      </c>
      <c r="S233" s="19"/>
    </row>
    <row r="234" spans="1:19">
      <c r="A234" s="19" t="s">
        <v>233</v>
      </c>
      <c r="B234" s="19" t="s">
        <v>826</v>
      </c>
      <c r="C234" s="19" t="s">
        <v>831</v>
      </c>
      <c r="D234" s="20">
        <v>1</v>
      </c>
      <c r="E234" s="19" t="s">
        <v>837</v>
      </c>
      <c r="F234" s="19" t="s">
        <v>861</v>
      </c>
      <c r="G234" s="19" t="s">
        <v>885</v>
      </c>
      <c r="H234" s="19" t="s">
        <v>930</v>
      </c>
      <c r="I234" s="19" t="s">
        <v>998</v>
      </c>
      <c r="J234" s="19" t="s">
        <v>1005</v>
      </c>
      <c r="K234" s="24">
        <v>46009</v>
      </c>
      <c r="L234" s="26">
        <v>46009.46111111111</v>
      </c>
      <c r="M234" s="26">
        <v>46009.70277777778</v>
      </c>
      <c r="N234" s="21">
        <v>5.8</v>
      </c>
      <c r="O234" s="23">
        <v>11705.47</v>
      </c>
      <c r="P234" s="19" t="s">
        <v>1014</v>
      </c>
      <c r="Q234" s="20">
        <v>0</v>
      </c>
      <c r="R234" s="19" t="s">
        <v>1024</v>
      </c>
      <c r="S234" s="19" t="s">
        <v>1030</v>
      </c>
    </row>
    <row r="235" spans="1:19">
      <c r="A235" s="19" t="s">
        <v>234</v>
      </c>
      <c r="B235" s="19" t="s">
        <v>823</v>
      </c>
      <c r="C235" s="19" t="s">
        <v>828</v>
      </c>
      <c r="D235" s="20">
        <v>0</v>
      </c>
      <c r="E235" s="19" t="s">
        <v>848</v>
      </c>
      <c r="F235" s="19" t="s">
        <v>872</v>
      </c>
      <c r="G235" s="19" t="s">
        <v>896</v>
      </c>
      <c r="H235" s="19" t="s">
        <v>912</v>
      </c>
      <c r="I235" s="19" t="s">
        <v>989</v>
      </c>
      <c r="J235" s="19" t="s">
        <v>1004</v>
      </c>
      <c r="K235" s="24">
        <v>46010</v>
      </c>
      <c r="L235" s="19"/>
      <c r="M235" s="19"/>
      <c r="N235" s="21">
        <v>0</v>
      </c>
      <c r="O235" s="23">
        <v>2417.93</v>
      </c>
      <c r="P235" s="19" t="s">
        <v>1014</v>
      </c>
      <c r="Q235" s="20">
        <v>0</v>
      </c>
      <c r="R235" s="19" t="s">
        <v>1023</v>
      </c>
      <c r="S235" s="19"/>
    </row>
    <row r="236" spans="1:19">
      <c r="A236" s="19" t="s">
        <v>235</v>
      </c>
      <c r="B236" s="19" t="s">
        <v>826</v>
      </c>
      <c r="C236" s="19" t="s">
        <v>831</v>
      </c>
      <c r="D236" s="20">
        <v>1</v>
      </c>
      <c r="E236" s="19" t="s">
        <v>837</v>
      </c>
      <c r="F236" s="19" t="s">
        <v>861</v>
      </c>
      <c r="G236" s="19" t="s">
        <v>885</v>
      </c>
      <c r="H236" s="19" t="s">
        <v>931</v>
      </c>
      <c r="I236" s="19" t="s">
        <v>993</v>
      </c>
      <c r="J236" s="19" t="s">
        <v>1006</v>
      </c>
      <c r="K236" s="24">
        <v>46010</v>
      </c>
      <c r="L236" s="26">
        <v>46010.98888888889</v>
      </c>
      <c r="M236" s="26">
        <v>46011.47222222222</v>
      </c>
      <c r="N236" s="21">
        <v>11.6</v>
      </c>
      <c r="O236" s="23">
        <v>7399.79</v>
      </c>
      <c r="P236" s="19" t="s">
        <v>1014</v>
      </c>
      <c r="Q236" s="20">
        <v>0</v>
      </c>
      <c r="R236" s="19" t="s">
        <v>1024</v>
      </c>
      <c r="S236" s="19"/>
    </row>
    <row r="237" spans="1:19">
      <c r="A237" s="19" t="s">
        <v>236</v>
      </c>
      <c r="B237" s="19" t="s">
        <v>823</v>
      </c>
      <c r="C237" s="19" t="s">
        <v>828</v>
      </c>
      <c r="D237" s="20">
        <v>0</v>
      </c>
      <c r="E237" s="19" t="s">
        <v>838</v>
      </c>
      <c r="F237" s="19" t="s">
        <v>862</v>
      </c>
      <c r="G237" s="19" t="s">
        <v>886</v>
      </c>
      <c r="H237" s="19" t="s">
        <v>924</v>
      </c>
      <c r="I237" s="19" t="s">
        <v>989</v>
      </c>
      <c r="J237" s="19" t="s">
        <v>1004</v>
      </c>
      <c r="K237" s="24">
        <v>46011</v>
      </c>
      <c r="L237" s="19"/>
      <c r="M237" s="19"/>
      <c r="N237" s="21">
        <v>0</v>
      </c>
      <c r="O237" s="23">
        <v>312.99</v>
      </c>
      <c r="P237" s="19" t="s">
        <v>1014</v>
      </c>
      <c r="Q237" s="20">
        <v>0</v>
      </c>
      <c r="R237" s="19" t="s">
        <v>1023</v>
      </c>
      <c r="S237" s="19"/>
    </row>
    <row r="238" spans="1:19">
      <c r="A238" s="19" t="s">
        <v>237</v>
      </c>
      <c r="B238" s="19" t="s">
        <v>823</v>
      </c>
      <c r="C238" s="19" t="s">
        <v>828</v>
      </c>
      <c r="D238" s="20">
        <v>0</v>
      </c>
      <c r="E238" s="19" t="s">
        <v>840</v>
      </c>
      <c r="F238" s="19" t="s">
        <v>864</v>
      </c>
      <c r="G238" s="19" t="s">
        <v>888</v>
      </c>
      <c r="H238" s="19" t="s">
        <v>911</v>
      </c>
      <c r="I238" s="19" t="s">
        <v>989</v>
      </c>
      <c r="J238" s="19" t="s">
        <v>1004</v>
      </c>
      <c r="K238" s="24">
        <v>46011</v>
      </c>
      <c r="L238" s="19"/>
      <c r="M238" s="19"/>
      <c r="N238" s="21">
        <v>0</v>
      </c>
      <c r="O238" s="23">
        <v>481.38</v>
      </c>
      <c r="P238" s="19" t="s">
        <v>1014</v>
      </c>
      <c r="Q238" s="20">
        <v>0</v>
      </c>
      <c r="R238" s="19" t="s">
        <v>1022</v>
      </c>
      <c r="S238" s="19"/>
    </row>
    <row r="239" spans="1:19">
      <c r="A239" s="19" t="s">
        <v>238</v>
      </c>
      <c r="B239" s="19" t="s">
        <v>825</v>
      </c>
      <c r="C239" s="19" t="s">
        <v>830</v>
      </c>
      <c r="D239" s="20">
        <v>1</v>
      </c>
      <c r="E239" s="19" t="s">
        <v>842</v>
      </c>
      <c r="F239" s="19" t="s">
        <v>866</v>
      </c>
      <c r="G239" s="19" t="s">
        <v>890</v>
      </c>
      <c r="H239" s="19" t="s">
        <v>930</v>
      </c>
      <c r="I239" s="19" t="s">
        <v>998</v>
      </c>
      <c r="J239" s="19" t="s">
        <v>1006</v>
      </c>
      <c r="K239" s="24">
        <v>46011</v>
      </c>
      <c r="L239" s="26">
        <v>46011.9</v>
      </c>
      <c r="M239" s="26">
        <v>46012.15833333333</v>
      </c>
      <c r="N239" s="21">
        <v>6.2</v>
      </c>
      <c r="O239" s="23">
        <v>5418.34</v>
      </c>
      <c r="P239" s="19" t="s">
        <v>1015</v>
      </c>
      <c r="Q239" s="20">
        <v>0</v>
      </c>
      <c r="R239" s="19" t="s">
        <v>1023</v>
      </c>
      <c r="S239" s="19"/>
    </row>
    <row r="240" spans="1:19">
      <c r="A240" s="19" t="s">
        <v>239</v>
      </c>
      <c r="B240" s="19" t="s">
        <v>823</v>
      </c>
      <c r="C240" s="19" t="s">
        <v>828</v>
      </c>
      <c r="D240" s="20">
        <v>0</v>
      </c>
      <c r="E240" s="19" t="s">
        <v>851</v>
      </c>
      <c r="F240" s="19" t="s">
        <v>875</v>
      </c>
      <c r="G240" s="19" t="s">
        <v>899</v>
      </c>
      <c r="H240" s="19" t="s">
        <v>906</v>
      </c>
      <c r="I240" s="19" t="s">
        <v>989</v>
      </c>
      <c r="J240" s="19" t="s">
        <v>1004</v>
      </c>
      <c r="K240" s="24">
        <v>46012</v>
      </c>
      <c r="L240" s="19"/>
      <c r="M240" s="19"/>
      <c r="N240" s="21">
        <v>0</v>
      </c>
      <c r="O240" s="23">
        <v>582.25</v>
      </c>
      <c r="P240" s="19" t="s">
        <v>1015</v>
      </c>
      <c r="Q240" s="20">
        <v>0</v>
      </c>
      <c r="R240" s="19" t="s">
        <v>1022</v>
      </c>
      <c r="S240" s="19"/>
    </row>
    <row r="241" spans="1:19">
      <c r="A241" s="19" t="s">
        <v>240</v>
      </c>
      <c r="B241" s="19" t="s">
        <v>825</v>
      </c>
      <c r="C241" s="19" t="s">
        <v>830</v>
      </c>
      <c r="D241" s="20">
        <v>1</v>
      </c>
      <c r="E241" s="19" t="s">
        <v>838</v>
      </c>
      <c r="F241" s="19" t="s">
        <v>862</v>
      </c>
      <c r="G241" s="19" t="s">
        <v>886</v>
      </c>
      <c r="H241" s="19" t="s">
        <v>913</v>
      </c>
      <c r="I241" s="19" t="s">
        <v>990</v>
      </c>
      <c r="J241" s="19" t="s">
        <v>1005</v>
      </c>
      <c r="K241" s="24">
        <v>46012</v>
      </c>
      <c r="L241" s="26">
        <v>46012.75416666667</v>
      </c>
      <c r="M241" s="26">
        <v>46012.91666666666</v>
      </c>
      <c r="N241" s="21">
        <v>3.9</v>
      </c>
      <c r="O241" s="23">
        <v>1772.87</v>
      </c>
      <c r="P241" s="19" t="s">
        <v>1015</v>
      </c>
      <c r="Q241" s="20">
        <v>0</v>
      </c>
      <c r="R241" s="19" t="s">
        <v>1021</v>
      </c>
      <c r="S241" s="19" t="s">
        <v>1026</v>
      </c>
    </row>
    <row r="242" spans="1:19">
      <c r="A242" s="19" t="s">
        <v>241</v>
      </c>
      <c r="B242" s="19" t="s">
        <v>823</v>
      </c>
      <c r="C242" s="19" t="s">
        <v>828</v>
      </c>
      <c r="D242" s="20">
        <v>0</v>
      </c>
      <c r="E242" s="19" t="s">
        <v>849</v>
      </c>
      <c r="F242" s="19" t="s">
        <v>873</v>
      </c>
      <c r="G242" s="19" t="s">
        <v>897</v>
      </c>
      <c r="H242" s="19" t="s">
        <v>907</v>
      </c>
      <c r="I242" s="19" t="s">
        <v>989</v>
      </c>
      <c r="J242" s="19" t="s">
        <v>1004</v>
      </c>
      <c r="K242" s="24">
        <v>46013</v>
      </c>
      <c r="L242" s="19"/>
      <c r="M242" s="19"/>
      <c r="N242" s="21">
        <v>0</v>
      </c>
      <c r="O242" s="23">
        <v>633.86</v>
      </c>
      <c r="P242" s="19" t="s">
        <v>1014</v>
      </c>
      <c r="Q242" s="20">
        <v>0</v>
      </c>
      <c r="R242" s="19" t="s">
        <v>1023</v>
      </c>
      <c r="S242" s="19"/>
    </row>
    <row r="243" spans="1:19">
      <c r="A243" s="19" t="s">
        <v>242</v>
      </c>
      <c r="B243" s="19" t="s">
        <v>824</v>
      </c>
      <c r="C243" s="19" t="s">
        <v>829</v>
      </c>
      <c r="D243" s="20">
        <v>0</v>
      </c>
      <c r="E243" s="19" t="s">
        <v>848</v>
      </c>
      <c r="F243" s="19" t="s">
        <v>872</v>
      </c>
      <c r="G243" s="19" t="s">
        <v>896</v>
      </c>
      <c r="H243" s="19" t="s">
        <v>910</v>
      </c>
      <c r="I243" s="19" t="s">
        <v>989</v>
      </c>
      <c r="J243" s="19" t="s">
        <v>1004</v>
      </c>
      <c r="K243" s="24">
        <v>46013</v>
      </c>
      <c r="L243" s="19"/>
      <c r="M243" s="19"/>
      <c r="N243" s="21">
        <v>0</v>
      </c>
      <c r="O243" s="23">
        <v>600</v>
      </c>
      <c r="P243" s="19" t="s">
        <v>1015</v>
      </c>
      <c r="Q243" s="20">
        <v>0</v>
      </c>
      <c r="R243" s="19" t="s">
        <v>1021</v>
      </c>
      <c r="S243" s="19"/>
    </row>
    <row r="244" spans="1:19">
      <c r="A244" s="19" t="s">
        <v>243</v>
      </c>
      <c r="B244" s="19" t="s">
        <v>824</v>
      </c>
      <c r="C244" s="19" t="s">
        <v>829</v>
      </c>
      <c r="D244" s="20">
        <v>0</v>
      </c>
      <c r="E244" s="19" t="s">
        <v>853</v>
      </c>
      <c r="F244" s="19" t="s">
        <v>877</v>
      </c>
      <c r="G244" s="19" t="s">
        <v>901</v>
      </c>
      <c r="H244" s="19" t="s">
        <v>914</v>
      </c>
      <c r="I244" s="19" t="s">
        <v>989</v>
      </c>
      <c r="J244" s="19" t="s">
        <v>1004</v>
      </c>
      <c r="K244" s="24">
        <v>46013</v>
      </c>
      <c r="L244" s="19"/>
      <c r="M244" s="19"/>
      <c r="N244" s="21">
        <v>0</v>
      </c>
      <c r="O244" s="23">
        <v>140</v>
      </c>
      <c r="P244" s="19" t="s">
        <v>1015</v>
      </c>
      <c r="Q244" s="20">
        <v>0</v>
      </c>
      <c r="R244" s="19" t="s">
        <v>1022</v>
      </c>
      <c r="S244" s="19"/>
    </row>
    <row r="245" spans="1:19">
      <c r="A245" s="19" t="s">
        <v>244</v>
      </c>
      <c r="B245" s="19" t="s">
        <v>823</v>
      </c>
      <c r="C245" s="19" t="s">
        <v>828</v>
      </c>
      <c r="D245" s="20">
        <v>0</v>
      </c>
      <c r="E245" s="19" t="s">
        <v>852</v>
      </c>
      <c r="F245" s="19" t="s">
        <v>876</v>
      </c>
      <c r="G245" s="19" t="s">
        <v>900</v>
      </c>
      <c r="H245" s="19" t="s">
        <v>906</v>
      </c>
      <c r="I245" s="19" t="s">
        <v>989</v>
      </c>
      <c r="J245" s="19" t="s">
        <v>1004</v>
      </c>
      <c r="K245" s="24">
        <v>46014</v>
      </c>
      <c r="L245" s="19"/>
      <c r="M245" s="19"/>
      <c r="N245" s="21">
        <v>0</v>
      </c>
      <c r="O245" s="23">
        <v>689.62</v>
      </c>
      <c r="P245" s="19" t="s">
        <v>1014</v>
      </c>
      <c r="Q245" s="20">
        <v>0</v>
      </c>
      <c r="R245" s="19" t="s">
        <v>1023</v>
      </c>
      <c r="S245" s="19"/>
    </row>
    <row r="246" spans="1:19">
      <c r="A246" s="19" t="s">
        <v>245</v>
      </c>
      <c r="B246" s="19" t="s">
        <v>823</v>
      </c>
      <c r="C246" s="19" t="s">
        <v>828</v>
      </c>
      <c r="D246" s="20">
        <v>0</v>
      </c>
      <c r="E246" s="19" t="s">
        <v>841</v>
      </c>
      <c r="F246" s="19" t="s">
        <v>865</v>
      </c>
      <c r="G246" s="19" t="s">
        <v>889</v>
      </c>
      <c r="H246" s="19" t="s">
        <v>911</v>
      </c>
      <c r="I246" s="19" t="s">
        <v>989</v>
      </c>
      <c r="J246" s="19" t="s">
        <v>1004</v>
      </c>
      <c r="K246" s="24">
        <v>46015</v>
      </c>
      <c r="L246" s="19"/>
      <c r="M246" s="19"/>
      <c r="N246" s="21">
        <v>0</v>
      </c>
      <c r="O246" s="23">
        <v>1287.32</v>
      </c>
      <c r="P246" s="19" t="s">
        <v>1014</v>
      </c>
      <c r="Q246" s="20">
        <v>0</v>
      </c>
      <c r="R246" s="19" t="s">
        <v>1021</v>
      </c>
      <c r="S246" s="19"/>
    </row>
    <row r="247" spans="1:19">
      <c r="A247" s="19" t="s">
        <v>246</v>
      </c>
      <c r="B247" s="19" t="s">
        <v>824</v>
      </c>
      <c r="C247" s="19" t="s">
        <v>829</v>
      </c>
      <c r="D247" s="20">
        <v>0</v>
      </c>
      <c r="E247" s="19" t="s">
        <v>856</v>
      </c>
      <c r="F247" s="19" t="s">
        <v>880</v>
      </c>
      <c r="G247" s="19" t="s">
        <v>904</v>
      </c>
      <c r="H247" s="19" t="s">
        <v>908</v>
      </c>
      <c r="I247" s="19" t="s">
        <v>989</v>
      </c>
      <c r="J247" s="19" t="s">
        <v>1004</v>
      </c>
      <c r="K247" s="24">
        <v>46015</v>
      </c>
      <c r="L247" s="19"/>
      <c r="M247" s="19"/>
      <c r="N247" s="21">
        <v>0</v>
      </c>
      <c r="O247" s="23">
        <v>48</v>
      </c>
      <c r="P247" s="19" t="s">
        <v>1014</v>
      </c>
      <c r="Q247" s="20">
        <v>0</v>
      </c>
      <c r="R247" s="19" t="s">
        <v>1022</v>
      </c>
      <c r="S247" s="19"/>
    </row>
    <row r="248" spans="1:19">
      <c r="A248" s="19" t="s">
        <v>247</v>
      </c>
      <c r="B248" s="19" t="s">
        <v>823</v>
      </c>
      <c r="C248" s="19" t="s">
        <v>828</v>
      </c>
      <c r="D248" s="20">
        <v>0</v>
      </c>
      <c r="E248" s="19" t="s">
        <v>844</v>
      </c>
      <c r="F248" s="19" t="s">
        <v>868</v>
      </c>
      <c r="G248" s="19" t="s">
        <v>892</v>
      </c>
      <c r="H248" s="19" t="s">
        <v>907</v>
      </c>
      <c r="I248" s="19" t="s">
        <v>989</v>
      </c>
      <c r="J248" s="19" t="s">
        <v>1004</v>
      </c>
      <c r="K248" s="24">
        <v>46016</v>
      </c>
      <c r="L248" s="19"/>
      <c r="M248" s="19"/>
      <c r="N248" s="21">
        <v>0</v>
      </c>
      <c r="O248" s="23">
        <v>512.1799999999999</v>
      </c>
      <c r="P248" s="19" t="s">
        <v>1014</v>
      </c>
      <c r="Q248" s="20">
        <v>0</v>
      </c>
      <c r="R248" s="19" t="s">
        <v>1023</v>
      </c>
      <c r="S248" s="19"/>
    </row>
    <row r="249" spans="1:19">
      <c r="A249" s="19" t="s">
        <v>248</v>
      </c>
      <c r="B249" s="19" t="s">
        <v>823</v>
      </c>
      <c r="C249" s="19" t="s">
        <v>828</v>
      </c>
      <c r="D249" s="20">
        <v>0</v>
      </c>
      <c r="E249" s="19" t="s">
        <v>846</v>
      </c>
      <c r="F249" s="19" t="s">
        <v>870</v>
      </c>
      <c r="G249" s="19" t="s">
        <v>894</v>
      </c>
      <c r="H249" s="19" t="s">
        <v>917</v>
      </c>
      <c r="I249" s="19" t="s">
        <v>989</v>
      </c>
      <c r="J249" s="19" t="s">
        <v>1004</v>
      </c>
      <c r="K249" s="24">
        <v>46016</v>
      </c>
      <c r="L249" s="19"/>
      <c r="M249" s="19"/>
      <c r="N249" s="21">
        <v>0</v>
      </c>
      <c r="O249" s="23">
        <v>364.59</v>
      </c>
      <c r="P249" s="19" t="s">
        <v>1014</v>
      </c>
      <c r="Q249" s="20">
        <v>0</v>
      </c>
      <c r="R249" s="19" t="s">
        <v>1023</v>
      </c>
      <c r="S249" s="19"/>
    </row>
    <row r="250" spans="1:19">
      <c r="A250" s="19" t="s">
        <v>249</v>
      </c>
      <c r="B250" s="19" t="s">
        <v>824</v>
      </c>
      <c r="C250" s="19" t="s">
        <v>829</v>
      </c>
      <c r="D250" s="20">
        <v>0</v>
      </c>
      <c r="E250" s="19" t="s">
        <v>842</v>
      </c>
      <c r="F250" s="19" t="s">
        <v>866</v>
      </c>
      <c r="G250" s="19" t="s">
        <v>890</v>
      </c>
      <c r="H250" s="19" t="s">
        <v>925</v>
      </c>
      <c r="I250" s="19" t="s">
        <v>989</v>
      </c>
      <c r="J250" s="19" t="s">
        <v>1004</v>
      </c>
      <c r="K250" s="24">
        <v>46016</v>
      </c>
      <c r="L250" s="19"/>
      <c r="M250" s="19"/>
      <c r="N250" s="21">
        <v>0</v>
      </c>
      <c r="O250" s="23">
        <v>320</v>
      </c>
      <c r="P250" s="19" t="s">
        <v>1015</v>
      </c>
      <c r="Q250" s="20">
        <v>0</v>
      </c>
      <c r="R250" s="19" t="s">
        <v>1021</v>
      </c>
      <c r="S250" s="19"/>
    </row>
    <row r="251" spans="1:19">
      <c r="A251" s="19" t="s">
        <v>250</v>
      </c>
      <c r="B251" s="19" t="s">
        <v>823</v>
      </c>
      <c r="C251" s="19" t="s">
        <v>828</v>
      </c>
      <c r="D251" s="20">
        <v>0</v>
      </c>
      <c r="E251" s="19" t="s">
        <v>843</v>
      </c>
      <c r="F251" s="19" t="s">
        <v>867</v>
      </c>
      <c r="G251" s="19" t="s">
        <v>891</v>
      </c>
      <c r="H251" s="19" t="s">
        <v>924</v>
      </c>
      <c r="I251" s="19" t="s">
        <v>989</v>
      </c>
      <c r="J251" s="19" t="s">
        <v>1004</v>
      </c>
      <c r="K251" s="24">
        <v>46017</v>
      </c>
      <c r="L251" s="19"/>
      <c r="M251" s="19"/>
      <c r="N251" s="21">
        <v>0</v>
      </c>
      <c r="O251" s="23">
        <v>212.42</v>
      </c>
      <c r="P251" s="19" t="s">
        <v>1014</v>
      </c>
      <c r="Q251" s="20">
        <v>0</v>
      </c>
      <c r="R251" s="19" t="s">
        <v>1022</v>
      </c>
      <c r="S251" s="19"/>
    </row>
    <row r="252" spans="1:19">
      <c r="A252" s="19" t="s">
        <v>251</v>
      </c>
      <c r="B252" s="19" t="s">
        <v>823</v>
      </c>
      <c r="C252" s="19" t="s">
        <v>828</v>
      </c>
      <c r="D252" s="20">
        <v>0</v>
      </c>
      <c r="E252" s="19" t="s">
        <v>842</v>
      </c>
      <c r="F252" s="19" t="s">
        <v>866</v>
      </c>
      <c r="G252" s="19" t="s">
        <v>890</v>
      </c>
      <c r="H252" s="19" t="s">
        <v>912</v>
      </c>
      <c r="I252" s="19" t="s">
        <v>989</v>
      </c>
      <c r="J252" s="19" t="s">
        <v>1004</v>
      </c>
      <c r="K252" s="24">
        <v>46017</v>
      </c>
      <c r="L252" s="19"/>
      <c r="M252" s="19"/>
      <c r="N252" s="21">
        <v>0</v>
      </c>
      <c r="O252" s="23">
        <v>661.0599999999999</v>
      </c>
      <c r="P252" s="19" t="s">
        <v>1014</v>
      </c>
      <c r="Q252" s="20">
        <v>0</v>
      </c>
      <c r="R252" s="19" t="s">
        <v>1023</v>
      </c>
      <c r="S252" s="19"/>
    </row>
    <row r="253" spans="1:19">
      <c r="A253" s="19" t="s">
        <v>252</v>
      </c>
      <c r="B253" s="19" t="s">
        <v>825</v>
      </c>
      <c r="C253" s="19" t="s">
        <v>830</v>
      </c>
      <c r="D253" s="20">
        <v>1</v>
      </c>
      <c r="E253" s="19" t="s">
        <v>834</v>
      </c>
      <c r="F253" s="19" t="s">
        <v>858</v>
      </c>
      <c r="G253" s="19" t="s">
        <v>882</v>
      </c>
      <c r="H253" s="19" t="s">
        <v>952</v>
      </c>
      <c r="I253" s="19" t="s">
        <v>991</v>
      </c>
      <c r="J253" s="19" t="s">
        <v>1006</v>
      </c>
      <c r="K253" s="24">
        <v>46017</v>
      </c>
      <c r="L253" s="26">
        <v>46017.34236111111</v>
      </c>
      <c r="M253" s="26">
        <v>46017.42152777778</v>
      </c>
      <c r="N253" s="21">
        <v>0</v>
      </c>
      <c r="O253" s="23">
        <v>3693.61</v>
      </c>
      <c r="P253" s="19" t="s">
        <v>1015</v>
      </c>
      <c r="Q253" s="20">
        <v>0</v>
      </c>
      <c r="R253" s="19" t="s">
        <v>1023</v>
      </c>
      <c r="S253" s="19"/>
    </row>
    <row r="254" spans="1:19">
      <c r="A254" s="19" t="s">
        <v>253</v>
      </c>
      <c r="B254" s="19" t="s">
        <v>823</v>
      </c>
      <c r="C254" s="19" t="s">
        <v>828</v>
      </c>
      <c r="D254" s="20">
        <v>0</v>
      </c>
      <c r="E254" s="19" t="s">
        <v>836</v>
      </c>
      <c r="F254" s="19" t="s">
        <v>860</v>
      </c>
      <c r="G254" s="19" t="s">
        <v>884</v>
      </c>
      <c r="H254" s="19" t="s">
        <v>906</v>
      </c>
      <c r="I254" s="19" t="s">
        <v>989</v>
      </c>
      <c r="J254" s="19" t="s">
        <v>1004</v>
      </c>
      <c r="K254" s="24">
        <v>46018</v>
      </c>
      <c r="L254" s="19"/>
      <c r="M254" s="19"/>
      <c r="N254" s="21">
        <v>0</v>
      </c>
      <c r="O254" s="23">
        <v>276.15</v>
      </c>
      <c r="P254" s="19" t="s">
        <v>1014</v>
      </c>
      <c r="Q254" s="20">
        <v>0</v>
      </c>
      <c r="R254" s="19" t="s">
        <v>1023</v>
      </c>
      <c r="S254" s="19"/>
    </row>
    <row r="255" spans="1:19">
      <c r="A255" s="19" t="s">
        <v>254</v>
      </c>
      <c r="B255" s="19" t="s">
        <v>823</v>
      </c>
      <c r="C255" s="19" t="s">
        <v>828</v>
      </c>
      <c r="D255" s="20">
        <v>0</v>
      </c>
      <c r="E255" s="19" t="s">
        <v>853</v>
      </c>
      <c r="F255" s="19" t="s">
        <v>877</v>
      </c>
      <c r="G255" s="19" t="s">
        <v>901</v>
      </c>
      <c r="H255" s="19" t="s">
        <v>907</v>
      </c>
      <c r="I255" s="19" t="s">
        <v>989</v>
      </c>
      <c r="J255" s="19" t="s">
        <v>1004</v>
      </c>
      <c r="K255" s="24">
        <v>46018</v>
      </c>
      <c r="L255" s="19"/>
      <c r="M255" s="19"/>
      <c r="N255" s="21">
        <v>0</v>
      </c>
      <c r="O255" s="23">
        <v>438.13</v>
      </c>
      <c r="P255" s="19" t="s">
        <v>1014</v>
      </c>
      <c r="Q255" s="20">
        <v>0</v>
      </c>
      <c r="R255" s="19" t="s">
        <v>1022</v>
      </c>
      <c r="S255" s="19"/>
    </row>
    <row r="256" spans="1:19">
      <c r="A256" s="19" t="s">
        <v>255</v>
      </c>
      <c r="B256" s="19" t="s">
        <v>825</v>
      </c>
      <c r="C256" s="19" t="s">
        <v>830</v>
      </c>
      <c r="D256" s="20">
        <v>1</v>
      </c>
      <c r="E256" s="19" t="s">
        <v>834</v>
      </c>
      <c r="F256" s="19" t="s">
        <v>858</v>
      </c>
      <c r="G256" s="19" t="s">
        <v>882</v>
      </c>
      <c r="H256" s="19" t="s">
        <v>953</v>
      </c>
      <c r="I256" s="19" t="s">
        <v>997</v>
      </c>
      <c r="J256" s="19" t="s">
        <v>1006</v>
      </c>
      <c r="K256" s="24">
        <v>46018</v>
      </c>
      <c r="L256" s="26">
        <v>46018.55833333333</v>
      </c>
      <c r="M256" s="26">
        <v>46018.74583333333</v>
      </c>
      <c r="N256" s="21">
        <v>0</v>
      </c>
      <c r="O256" s="23">
        <v>1354.85</v>
      </c>
      <c r="P256" s="19" t="s">
        <v>1015</v>
      </c>
      <c r="Q256" s="20">
        <v>0</v>
      </c>
      <c r="R256" s="19" t="s">
        <v>1021</v>
      </c>
      <c r="S256" s="19"/>
    </row>
    <row r="257" spans="1:19">
      <c r="A257" s="19" t="s">
        <v>256</v>
      </c>
      <c r="B257" s="19" t="s">
        <v>825</v>
      </c>
      <c r="C257" s="19" t="s">
        <v>830</v>
      </c>
      <c r="D257" s="20">
        <v>1</v>
      </c>
      <c r="E257" s="19" t="s">
        <v>835</v>
      </c>
      <c r="F257" s="19" t="s">
        <v>859</v>
      </c>
      <c r="G257" s="19" t="s">
        <v>883</v>
      </c>
      <c r="H257" s="19" t="s">
        <v>913</v>
      </c>
      <c r="I257" s="19" t="s">
        <v>990</v>
      </c>
      <c r="J257" s="19" t="s">
        <v>1005</v>
      </c>
      <c r="K257" s="24">
        <v>46019</v>
      </c>
      <c r="L257" s="26">
        <v>46019.8</v>
      </c>
      <c r="M257" s="26">
        <v>46020.1125</v>
      </c>
      <c r="N257" s="21">
        <v>7.5</v>
      </c>
      <c r="O257" s="23">
        <v>5371.65</v>
      </c>
      <c r="P257" s="19" t="s">
        <v>1015</v>
      </c>
      <c r="Q257" s="20">
        <v>0</v>
      </c>
      <c r="R257" s="19" t="s">
        <v>1023</v>
      </c>
      <c r="S257" s="19" t="s">
        <v>1026</v>
      </c>
    </row>
    <row r="258" spans="1:19">
      <c r="A258" s="19" t="s">
        <v>257</v>
      </c>
      <c r="B258" s="19" t="s">
        <v>823</v>
      </c>
      <c r="C258" s="19" t="s">
        <v>828</v>
      </c>
      <c r="D258" s="20">
        <v>0</v>
      </c>
      <c r="E258" s="19" t="s">
        <v>834</v>
      </c>
      <c r="F258" s="19" t="s">
        <v>858</v>
      </c>
      <c r="G258" s="19" t="s">
        <v>882</v>
      </c>
      <c r="H258" s="19" t="s">
        <v>909</v>
      </c>
      <c r="I258" s="19" t="s">
        <v>989</v>
      </c>
      <c r="J258" s="19" t="s">
        <v>1004</v>
      </c>
      <c r="K258" s="24">
        <v>46020</v>
      </c>
      <c r="L258" s="19"/>
      <c r="M258" s="19"/>
      <c r="N258" s="21">
        <v>0</v>
      </c>
      <c r="O258" s="23">
        <v>407.74</v>
      </c>
      <c r="P258" s="19" t="s">
        <v>1014</v>
      </c>
      <c r="Q258" s="20">
        <v>0</v>
      </c>
      <c r="R258" s="19" t="s">
        <v>1021</v>
      </c>
      <c r="S258" s="19"/>
    </row>
    <row r="259" spans="1:19">
      <c r="A259" s="19" t="s">
        <v>258</v>
      </c>
      <c r="B259" s="19" t="s">
        <v>823</v>
      </c>
      <c r="C259" s="19" t="s">
        <v>828</v>
      </c>
      <c r="D259" s="20">
        <v>0</v>
      </c>
      <c r="E259" s="19" t="s">
        <v>850</v>
      </c>
      <c r="F259" s="19" t="s">
        <v>874</v>
      </c>
      <c r="G259" s="19" t="s">
        <v>898</v>
      </c>
      <c r="H259" s="19" t="s">
        <v>909</v>
      </c>
      <c r="I259" s="19" t="s">
        <v>989</v>
      </c>
      <c r="J259" s="19" t="s">
        <v>1004</v>
      </c>
      <c r="K259" s="24">
        <v>46020</v>
      </c>
      <c r="L259" s="19"/>
      <c r="M259" s="19"/>
      <c r="N259" s="21">
        <v>0</v>
      </c>
      <c r="O259" s="23">
        <v>294.49</v>
      </c>
      <c r="P259" s="19" t="s">
        <v>1015</v>
      </c>
      <c r="Q259" s="20">
        <v>0</v>
      </c>
      <c r="R259" s="19" t="s">
        <v>1022</v>
      </c>
      <c r="S259" s="19"/>
    </row>
    <row r="260" spans="1:19">
      <c r="A260" s="19" t="s">
        <v>259</v>
      </c>
      <c r="B260" s="19" t="s">
        <v>823</v>
      </c>
      <c r="C260" s="19" t="s">
        <v>828</v>
      </c>
      <c r="D260" s="20">
        <v>0</v>
      </c>
      <c r="E260" s="19" t="s">
        <v>845</v>
      </c>
      <c r="F260" s="19" t="s">
        <v>869</v>
      </c>
      <c r="G260" s="19" t="s">
        <v>893</v>
      </c>
      <c r="H260" s="19" t="s">
        <v>906</v>
      </c>
      <c r="I260" s="19" t="s">
        <v>989</v>
      </c>
      <c r="J260" s="19" t="s">
        <v>1004</v>
      </c>
      <c r="K260" s="24">
        <v>46021</v>
      </c>
      <c r="L260" s="19"/>
      <c r="M260" s="19"/>
      <c r="N260" s="21">
        <v>0</v>
      </c>
      <c r="O260" s="23">
        <v>593.12</v>
      </c>
      <c r="P260" s="19" t="s">
        <v>1014</v>
      </c>
      <c r="Q260" s="20">
        <v>0</v>
      </c>
      <c r="R260" s="19" t="s">
        <v>1021</v>
      </c>
      <c r="S260" s="19"/>
    </row>
    <row r="261" spans="1:19">
      <c r="A261" s="19" t="s">
        <v>260</v>
      </c>
      <c r="B261" s="19" t="s">
        <v>824</v>
      </c>
      <c r="C261" s="19" t="s">
        <v>829</v>
      </c>
      <c r="D261" s="20">
        <v>0</v>
      </c>
      <c r="E261" s="19" t="s">
        <v>836</v>
      </c>
      <c r="F261" s="19" t="s">
        <v>860</v>
      </c>
      <c r="G261" s="19" t="s">
        <v>884</v>
      </c>
      <c r="H261" s="19" t="s">
        <v>910</v>
      </c>
      <c r="I261" s="19" t="s">
        <v>989</v>
      </c>
      <c r="J261" s="19" t="s">
        <v>1004</v>
      </c>
      <c r="K261" s="24">
        <v>46021</v>
      </c>
      <c r="L261" s="19"/>
      <c r="M261" s="19"/>
      <c r="N261" s="21">
        <v>0</v>
      </c>
      <c r="O261" s="23">
        <v>120</v>
      </c>
      <c r="P261" s="19" t="s">
        <v>1015</v>
      </c>
      <c r="Q261" s="20">
        <v>0</v>
      </c>
      <c r="R261" s="19" t="s">
        <v>1023</v>
      </c>
      <c r="S261" s="19"/>
    </row>
    <row r="262" spans="1:19">
      <c r="A262" s="19" t="s">
        <v>261</v>
      </c>
      <c r="B262" s="19" t="s">
        <v>824</v>
      </c>
      <c r="C262" s="19" t="s">
        <v>829</v>
      </c>
      <c r="D262" s="20">
        <v>0</v>
      </c>
      <c r="E262" s="19" t="s">
        <v>838</v>
      </c>
      <c r="F262" s="19" t="s">
        <v>862</v>
      </c>
      <c r="G262" s="19" t="s">
        <v>886</v>
      </c>
      <c r="H262" s="19" t="s">
        <v>914</v>
      </c>
      <c r="I262" s="19" t="s">
        <v>989</v>
      </c>
      <c r="J262" s="19" t="s">
        <v>1004</v>
      </c>
      <c r="K262" s="24">
        <v>46022</v>
      </c>
      <c r="L262" s="19"/>
      <c r="M262" s="19"/>
      <c r="N262" s="21">
        <v>0</v>
      </c>
      <c r="O262" s="23">
        <v>80</v>
      </c>
      <c r="P262" s="19" t="s">
        <v>1015</v>
      </c>
      <c r="Q262" s="20">
        <v>0</v>
      </c>
      <c r="R262" s="19" t="s">
        <v>1023</v>
      </c>
      <c r="S262" s="19"/>
    </row>
    <row r="263" spans="1:19">
      <c r="A263" s="19" t="s">
        <v>262</v>
      </c>
      <c r="B263" s="19" t="s">
        <v>824</v>
      </c>
      <c r="C263" s="19" t="s">
        <v>829</v>
      </c>
      <c r="D263" s="20">
        <v>0</v>
      </c>
      <c r="E263" s="19" t="s">
        <v>839</v>
      </c>
      <c r="F263" s="19" t="s">
        <v>863</v>
      </c>
      <c r="G263" s="19" t="s">
        <v>887</v>
      </c>
      <c r="H263" s="19" t="s">
        <v>908</v>
      </c>
      <c r="I263" s="19" t="s">
        <v>989</v>
      </c>
      <c r="J263" s="19" t="s">
        <v>1004</v>
      </c>
      <c r="K263" s="24">
        <v>46022</v>
      </c>
      <c r="L263" s="19"/>
      <c r="M263" s="19"/>
      <c r="N263" s="21">
        <v>0</v>
      </c>
      <c r="O263" s="23">
        <v>160</v>
      </c>
      <c r="P263" s="19" t="s">
        <v>1015</v>
      </c>
      <c r="Q263" s="20">
        <v>0</v>
      </c>
      <c r="R263" s="19" t="s">
        <v>1021</v>
      </c>
      <c r="S263" s="19"/>
    </row>
    <row r="264" spans="1:19">
      <c r="A264" s="19" t="s">
        <v>263</v>
      </c>
      <c r="B264" s="19" t="s">
        <v>824</v>
      </c>
      <c r="C264" s="19" t="s">
        <v>829</v>
      </c>
      <c r="D264" s="20">
        <v>0</v>
      </c>
      <c r="E264" s="19" t="s">
        <v>855</v>
      </c>
      <c r="F264" s="19" t="s">
        <v>879</v>
      </c>
      <c r="G264" s="19" t="s">
        <v>903</v>
      </c>
      <c r="H264" s="19" t="s">
        <v>925</v>
      </c>
      <c r="I264" s="19" t="s">
        <v>989</v>
      </c>
      <c r="J264" s="19" t="s">
        <v>1004</v>
      </c>
      <c r="K264" s="24">
        <v>46022</v>
      </c>
      <c r="L264" s="19"/>
      <c r="M264" s="19"/>
      <c r="N264" s="21">
        <v>0</v>
      </c>
      <c r="O264" s="23">
        <v>100</v>
      </c>
      <c r="P264" s="19" t="s">
        <v>1015</v>
      </c>
      <c r="Q264" s="20">
        <v>0</v>
      </c>
      <c r="R264" s="19" t="s">
        <v>1022</v>
      </c>
      <c r="S264" s="19"/>
    </row>
    <row r="265" spans="1:19">
      <c r="A265" s="19" t="s">
        <v>264</v>
      </c>
      <c r="B265" s="19" t="s">
        <v>823</v>
      </c>
      <c r="C265" s="19" t="s">
        <v>828</v>
      </c>
      <c r="D265" s="20">
        <v>0</v>
      </c>
      <c r="E265" s="19" t="s">
        <v>839</v>
      </c>
      <c r="F265" s="19" t="s">
        <v>863</v>
      </c>
      <c r="G265" s="19" t="s">
        <v>887</v>
      </c>
      <c r="H265" s="19" t="s">
        <v>917</v>
      </c>
      <c r="I265" s="19" t="s">
        <v>989</v>
      </c>
      <c r="J265" s="19" t="s">
        <v>1004</v>
      </c>
      <c r="K265" s="24">
        <v>46024</v>
      </c>
      <c r="L265" s="19"/>
      <c r="M265" s="19"/>
      <c r="N265" s="21">
        <v>0</v>
      </c>
      <c r="O265" s="23">
        <v>405.38</v>
      </c>
      <c r="P265" s="19" t="s">
        <v>1014</v>
      </c>
      <c r="Q265" s="20">
        <v>0</v>
      </c>
      <c r="R265" s="19" t="s">
        <v>1021</v>
      </c>
      <c r="S265" s="19"/>
    </row>
    <row r="266" spans="1:19">
      <c r="A266" s="19" t="s">
        <v>265</v>
      </c>
      <c r="B266" s="19" t="s">
        <v>823</v>
      </c>
      <c r="C266" s="19" t="s">
        <v>828</v>
      </c>
      <c r="D266" s="20">
        <v>0</v>
      </c>
      <c r="E266" s="19" t="s">
        <v>847</v>
      </c>
      <c r="F266" s="19" t="s">
        <v>871</v>
      </c>
      <c r="G266" s="19" t="s">
        <v>895</v>
      </c>
      <c r="H266" s="19" t="s">
        <v>917</v>
      </c>
      <c r="I266" s="19" t="s">
        <v>989</v>
      </c>
      <c r="J266" s="19" t="s">
        <v>1004</v>
      </c>
      <c r="K266" s="24">
        <v>46024</v>
      </c>
      <c r="L266" s="19"/>
      <c r="M266" s="19"/>
      <c r="N266" s="21">
        <v>0</v>
      </c>
      <c r="O266" s="23">
        <v>399.07</v>
      </c>
      <c r="P266" s="19" t="s">
        <v>1014</v>
      </c>
      <c r="Q266" s="20">
        <v>0</v>
      </c>
      <c r="R266" s="19" t="s">
        <v>1022</v>
      </c>
      <c r="S266" s="19"/>
    </row>
    <row r="267" spans="1:19">
      <c r="A267" s="19" t="s">
        <v>266</v>
      </c>
      <c r="B267" s="19" t="s">
        <v>824</v>
      </c>
      <c r="C267" s="19" t="s">
        <v>829</v>
      </c>
      <c r="D267" s="20">
        <v>0</v>
      </c>
      <c r="E267" s="19" t="s">
        <v>837</v>
      </c>
      <c r="F267" s="19" t="s">
        <v>861</v>
      </c>
      <c r="G267" s="19" t="s">
        <v>885</v>
      </c>
      <c r="H267" s="19" t="s">
        <v>914</v>
      </c>
      <c r="I267" s="19" t="s">
        <v>989</v>
      </c>
      <c r="J267" s="19" t="s">
        <v>1004</v>
      </c>
      <c r="K267" s="24">
        <v>46025</v>
      </c>
      <c r="L267" s="19"/>
      <c r="M267" s="19"/>
      <c r="N267" s="21">
        <v>0</v>
      </c>
      <c r="O267" s="23">
        <v>260</v>
      </c>
      <c r="P267" s="19" t="s">
        <v>1014</v>
      </c>
      <c r="Q267" s="20">
        <v>0</v>
      </c>
      <c r="R267" s="19" t="s">
        <v>1022</v>
      </c>
      <c r="S267" s="19"/>
    </row>
    <row r="268" spans="1:19">
      <c r="A268" s="19" t="s">
        <v>267</v>
      </c>
      <c r="B268" s="19" t="s">
        <v>826</v>
      </c>
      <c r="C268" s="19" t="s">
        <v>831</v>
      </c>
      <c r="D268" s="20">
        <v>1</v>
      </c>
      <c r="E268" s="19" t="s">
        <v>835</v>
      </c>
      <c r="F268" s="19" t="s">
        <v>859</v>
      </c>
      <c r="G268" s="19" t="s">
        <v>883</v>
      </c>
      <c r="H268" s="19" t="s">
        <v>946</v>
      </c>
      <c r="I268" s="19" t="s">
        <v>990</v>
      </c>
      <c r="J268" s="19" t="s">
        <v>1005</v>
      </c>
      <c r="K268" s="24">
        <v>46026</v>
      </c>
      <c r="L268" s="26">
        <v>46026.01805555556</v>
      </c>
      <c r="M268" s="26">
        <v>46026.83472222222</v>
      </c>
      <c r="N268" s="21">
        <v>19.6</v>
      </c>
      <c r="O268" s="23">
        <v>9352.389999999999</v>
      </c>
      <c r="P268" s="19" t="s">
        <v>1014</v>
      </c>
      <c r="Q268" s="20">
        <v>0</v>
      </c>
      <c r="R268" s="19" t="s">
        <v>1022</v>
      </c>
      <c r="S268" s="19" t="s">
        <v>1026</v>
      </c>
    </row>
    <row r="269" spans="1:19">
      <c r="A269" s="19" t="s">
        <v>268</v>
      </c>
      <c r="B269" s="19" t="s">
        <v>824</v>
      </c>
      <c r="C269" s="19" t="s">
        <v>829</v>
      </c>
      <c r="D269" s="20">
        <v>0</v>
      </c>
      <c r="E269" s="19" t="s">
        <v>845</v>
      </c>
      <c r="F269" s="19" t="s">
        <v>869</v>
      </c>
      <c r="G269" s="19" t="s">
        <v>893</v>
      </c>
      <c r="H269" s="19" t="s">
        <v>914</v>
      </c>
      <c r="I269" s="19" t="s">
        <v>989</v>
      </c>
      <c r="J269" s="19" t="s">
        <v>1004</v>
      </c>
      <c r="K269" s="24">
        <v>46026</v>
      </c>
      <c r="L269" s="19"/>
      <c r="M269" s="19"/>
      <c r="N269" s="21">
        <v>0</v>
      </c>
      <c r="O269" s="23">
        <v>360</v>
      </c>
      <c r="P269" s="19" t="s">
        <v>1014</v>
      </c>
      <c r="Q269" s="20">
        <v>0</v>
      </c>
      <c r="R269" s="19" t="s">
        <v>1022</v>
      </c>
      <c r="S269" s="19"/>
    </row>
    <row r="270" spans="1:19">
      <c r="A270" s="19" t="s">
        <v>269</v>
      </c>
      <c r="B270" s="19" t="s">
        <v>824</v>
      </c>
      <c r="C270" s="19" t="s">
        <v>829</v>
      </c>
      <c r="D270" s="20">
        <v>0</v>
      </c>
      <c r="E270" s="19" t="s">
        <v>846</v>
      </c>
      <c r="F270" s="19" t="s">
        <v>870</v>
      </c>
      <c r="G270" s="19" t="s">
        <v>894</v>
      </c>
      <c r="H270" s="19" t="s">
        <v>908</v>
      </c>
      <c r="I270" s="19" t="s">
        <v>989</v>
      </c>
      <c r="J270" s="19" t="s">
        <v>1004</v>
      </c>
      <c r="K270" s="24">
        <v>46026</v>
      </c>
      <c r="L270" s="19"/>
      <c r="M270" s="19"/>
      <c r="N270" s="21">
        <v>0</v>
      </c>
      <c r="O270" s="23">
        <v>100</v>
      </c>
      <c r="P270" s="19" t="s">
        <v>1014</v>
      </c>
      <c r="Q270" s="20">
        <v>0</v>
      </c>
      <c r="R270" s="19" t="s">
        <v>1022</v>
      </c>
      <c r="S270" s="19"/>
    </row>
    <row r="271" spans="1:19">
      <c r="A271" s="19" t="s">
        <v>270</v>
      </c>
      <c r="B271" s="19" t="s">
        <v>825</v>
      </c>
      <c r="C271" s="19" t="s">
        <v>830</v>
      </c>
      <c r="D271" s="20">
        <v>1</v>
      </c>
      <c r="E271" s="19" t="s">
        <v>849</v>
      </c>
      <c r="F271" s="19" t="s">
        <v>873</v>
      </c>
      <c r="G271" s="19" t="s">
        <v>897</v>
      </c>
      <c r="H271" s="19" t="s">
        <v>954</v>
      </c>
      <c r="I271" s="19" t="s">
        <v>993</v>
      </c>
      <c r="J271" s="19" t="s">
        <v>1006</v>
      </c>
      <c r="K271" s="24">
        <v>46026</v>
      </c>
      <c r="L271" s="26">
        <v>46026.96597222222</v>
      </c>
      <c r="M271" s="26">
        <v>46027.28680555556</v>
      </c>
      <c r="N271" s="21">
        <v>7.7</v>
      </c>
      <c r="O271" s="23">
        <v>21919.09</v>
      </c>
      <c r="P271" s="19" t="s">
        <v>1014</v>
      </c>
      <c r="Q271" s="20">
        <v>0</v>
      </c>
      <c r="R271" s="19" t="s">
        <v>1023</v>
      </c>
      <c r="S271" s="19"/>
    </row>
    <row r="272" spans="1:19">
      <c r="A272" s="19" t="s">
        <v>271</v>
      </c>
      <c r="B272" s="19" t="s">
        <v>823</v>
      </c>
      <c r="C272" s="19" t="s">
        <v>828</v>
      </c>
      <c r="D272" s="20">
        <v>0</v>
      </c>
      <c r="E272" s="19" t="s">
        <v>837</v>
      </c>
      <c r="F272" s="19" t="s">
        <v>861</v>
      </c>
      <c r="G272" s="19" t="s">
        <v>885</v>
      </c>
      <c r="H272" s="19" t="s">
        <v>924</v>
      </c>
      <c r="I272" s="19" t="s">
        <v>989</v>
      </c>
      <c r="J272" s="19" t="s">
        <v>1004</v>
      </c>
      <c r="K272" s="24">
        <v>46027</v>
      </c>
      <c r="L272" s="19"/>
      <c r="M272" s="19"/>
      <c r="N272" s="21">
        <v>0</v>
      </c>
      <c r="O272" s="23">
        <v>1041.68</v>
      </c>
      <c r="P272" s="19" t="s">
        <v>1015</v>
      </c>
      <c r="Q272" s="20">
        <v>0</v>
      </c>
      <c r="R272" s="19" t="s">
        <v>1021</v>
      </c>
      <c r="S272" s="19"/>
    </row>
    <row r="273" spans="1:19">
      <c r="A273" s="19" t="s">
        <v>272</v>
      </c>
      <c r="B273" s="19" t="s">
        <v>823</v>
      </c>
      <c r="C273" s="19" t="s">
        <v>828</v>
      </c>
      <c r="D273" s="20">
        <v>0</v>
      </c>
      <c r="E273" s="19" t="s">
        <v>848</v>
      </c>
      <c r="F273" s="19" t="s">
        <v>872</v>
      </c>
      <c r="G273" s="19" t="s">
        <v>896</v>
      </c>
      <c r="H273" s="19" t="s">
        <v>912</v>
      </c>
      <c r="I273" s="19" t="s">
        <v>989</v>
      </c>
      <c r="J273" s="19" t="s">
        <v>1004</v>
      </c>
      <c r="K273" s="24">
        <v>46027</v>
      </c>
      <c r="L273" s="19"/>
      <c r="M273" s="19"/>
      <c r="N273" s="21">
        <v>0</v>
      </c>
      <c r="O273" s="23">
        <v>2482.97</v>
      </c>
      <c r="P273" s="19" t="s">
        <v>1015</v>
      </c>
      <c r="Q273" s="20">
        <v>0</v>
      </c>
      <c r="R273" s="19" t="s">
        <v>1021</v>
      </c>
      <c r="S273" s="19"/>
    </row>
    <row r="274" spans="1:19">
      <c r="A274" s="19" t="s">
        <v>273</v>
      </c>
      <c r="B274" s="19" t="s">
        <v>824</v>
      </c>
      <c r="C274" s="19" t="s">
        <v>829</v>
      </c>
      <c r="D274" s="20">
        <v>0</v>
      </c>
      <c r="E274" s="19" t="s">
        <v>843</v>
      </c>
      <c r="F274" s="19" t="s">
        <v>867</v>
      </c>
      <c r="G274" s="19" t="s">
        <v>891</v>
      </c>
      <c r="H274" s="19" t="s">
        <v>914</v>
      </c>
      <c r="I274" s="19" t="s">
        <v>989</v>
      </c>
      <c r="J274" s="19" t="s">
        <v>1004</v>
      </c>
      <c r="K274" s="24">
        <v>46027</v>
      </c>
      <c r="L274" s="19"/>
      <c r="M274" s="19"/>
      <c r="N274" s="21">
        <v>0</v>
      </c>
      <c r="O274" s="23">
        <v>88</v>
      </c>
      <c r="P274" s="19" t="s">
        <v>1014</v>
      </c>
      <c r="Q274" s="20">
        <v>0</v>
      </c>
      <c r="R274" s="19" t="s">
        <v>1021</v>
      </c>
      <c r="S274" s="19"/>
    </row>
    <row r="275" spans="1:19">
      <c r="A275" s="19" t="s">
        <v>274</v>
      </c>
      <c r="B275" s="19" t="s">
        <v>824</v>
      </c>
      <c r="C275" s="19" t="s">
        <v>829</v>
      </c>
      <c r="D275" s="20">
        <v>0</v>
      </c>
      <c r="E275" s="19" t="s">
        <v>851</v>
      </c>
      <c r="F275" s="19" t="s">
        <v>875</v>
      </c>
      <c r="G275" s="19" t="s">
        <v>899</v>
      </c>
      <c r="H275" s="19" t="s">
        <v>908</v>
      </c>
      <c r="I275" s="19" t="s">
        <v>989</v>
      </c>
      <c r="J275" s="19" t="s">
        <v>1004</v>
      </c>
      <c r="K275" s="24">
        <v>46027</v>
      </c>
      <c r="L275" s="19"/>
      <c r="M275" s="19"/>
      <c r="N275" s="21">
        <v>0</v>
      </c>
      <c r="O275" s="23">
        <v>180</v>
      </c>
      <c r="P275" s="19" t="s">
        <v>1015</v>
      </c>
      <c r="Q275" s="20">
        <v>0</v>
      </c>
      <c r="R275" s="19" t="s">
        <v>1022</v>
      </c>
      <c r="S275" s="19"/>
    </row>
    <row r="276" spans="1:19">
      <c r="A276" s="19" t="s">
        <v>275</v>
      </c>
      <c r="B276" s="19" t="s">
        <v>825</v>
      </c>
      <c r="C276" s="19" t="s">
        <v>830</v>
      </c>
      <c r="D276" s="20">
        <v>1</v>
      </c>
      <c r="E276" s="19" t="s">
        <v>843</v>
      </c>
      <c r="F276" s="19" t="s">
        <v>867</v>
      </c>
      <c r="G276" s="19" t="s">
        <v>891</v>
      </c>
      <c r="H276" s="19" t="s">
        <v>937</v>
      </c>
      <c r="I276" s="19" t="s">
        <v>1000</v>
      </c>
      <c r="J276" s="19" t="s">
        <v>1006</v>
      </c>
      <c r="K276" s="24">
        <v>46028</v>
      </c>
      <c r="L276" s="26">
        <v>46028.38194444445</v>
      </c>
      <c r="M276" s="26">
        <v>46028.63194444445</v>
      </c>
      <c r="N276" s="21">
        <v>0</v>
      </c>
      <c r="O276" s="23">
        <v>2572.14</v>
      </c>
      <c r="P276" s="19" t="s">
        <v>1014</v>
      </c>
      <c r="Q276" s="20">
        <v>0</v>
      </c>
      <c r="R276" s="19" t="s">
        <v>1023</v>
      </c>
      <c r="S276" s="19"/>
    </row>
    <row r="277" spans="1:19">
      <c r="A277" s="19" t="s">
        <v>276</v>
      </c>
      <c r="B277" s="19" t="s">
        <v>823</v>
      </c>
      <c r="C277" s="19" t="s">
        <v>828</v>
      </c>
      <c r="D277" s="20">
        <v>0</v>
      </c>
      <c r="E277" s="19" t="s">
        <v>851</v>
      </c>
      <c r="F277" s="19" t="s">
        <v>875</v>
      </c>
      <c r="G277" s="19" t="s">
        <v>899</v>
      </c>
      <c r="H277" s="19" t="s">
        <v>909</v>
      </c>
      <c r="I277" s="19" t="s">
        <v>989</v>
      </c>
      <c r="J277" s="19" t="s">
        <v>1004</v>
      </c>
      <c r="K277" s="24">
        <v>46029</v>
      </c>
      <c r="L277" s="19"/>
      <c r="M277" s="19"/>
      <c r="N277" s="21">
        <v>0</v>
      </c>
      <c r="O277" s="23">
        <v>503.56</v>
      </c>
      <c r="P277" s="19" t="s">
        <v>1015</v>
      </c>
      <c r="Q277" s="20">
        <v>0</v>
      </c>
      <c r="R277" s="19" t="s">
        <v>1021</v>
      </c>
      <c r="S277" s="19"/>
    </row>
    <row r="278" spans="1:19">
      <c r="A278" s="19" t="s">
        <v>277</v>
      </c>
      <c r="B278" s="19" t="s">
        <v>823</v>
      </c>
      <c r="C278" s="19" t="s">
        <v>828</v>
      </c>
      <c r="D278" s="20">
        <v>0</v>
      </c>
      <c r="E278" s="19" t="s">
        <v>854</v>
      </c>
      <c r="F278" s="19" t="s">
        <v>878</v>
      </c>
      <c r="G278" s="19" t="s">
        <v>902</v>
      </c>
      <c r="H278" s="19" t="s">
        <v>906</v>
      </c>
      <c r="I278" s="19" t="s">
        <v>989</v>
      </c>
      <c r="J278" s="19" t="s">
        <v>1004</v>
      </c>
      <c r="K278" s="24">
        <v>46029</v>
      </c>
      <c r="L278" s="19"/>
      <c r="M278" s="19"/>
      <c r="N278" s="21">
        <v>0</v>
      </c>
      <c r="O278" s="23">
        <v>398.27</v>
      </c>
      <c r="P278" s="19" t="s">
        <v>1015</v>
      </c>
      <c r="Q278" s="20">
        <v>0</v>
      </c>
      <c r="R278" s="19" t="s">
        <v>1023</v>
      </c>
      <c r="S278" s="19"/>
    </row>
    <row r="279" spans="1:19">
      <c r="A279" s="19" t="s">
        <v>278</v>
      </c>
      <c r="B279" s="19" t="s">
        <v>825</v>
      </c>
      <c r="C279" s="19" t="s">
        <v>830</v>
      </c>
      <c r="D279" s="20">
        <v>1</v>
      </c>
      <c r="E279" s="19" t="s">
        <v>835</v>
      </c>
      <c r="F279" s="19" t="s">
        <v>859</v>
      </c>
      <c r="G279" s="19" t="s">
        <v>883</v>
      </c>
      <c r="H279" s="19" t="s">
        <v>923</v>
      </c>
      <c r="I279" s="19" t="s">
        <v>990</v>
      </c>
      <c r="J279" s="19" t="s">
        <v>1005</v>
      </c>
      <c r="K279" s="24">
        <v>46029</v>
      </c>
      <c r="L279" s="26">
        <v>46029.40069444444</v>
      </c>
      <c r="M279" s="26">
        <v>46029.82569444444</v>
      </c>
      <c r="N279" s="21">
        <v>10.2</v>
      </c>
      <c r="O279" s="23">
        <v>6827.71</v>
      </c>
      <c r="P279" s="19" t="s">
        <v>1014</v>
      </c>
      <c r="Q279" s="20">
        <v>0</v>
      </c>
      <c r="R279" s="19" t="s">
        <v>1023</v>
      </c>
      <c r="S279" s="19" t="s">
        <v>1026</v>
      </c>
    </row>
    <row r="280" spans="1:19">
      <c r="A280" s="19" t="s">
        <v>279</v>
      </c>
      <c r="B280" s="19" t="s">
        <v>823</v>
      </c>
      <c r="C280" s="19" t="s">
        <v>828</v>
      </c>
      <c r="D280" s="20">
        <v>0</v>
      </c>
      <c r="E280" s="19" t="s">
        <v>856</v>
      </c>
      <c r="F280" s="19" t="s">
        <v>880</v>
      </c>
      <c r="G280" s="19" t="s">
        <v>904</v>
      </c>
      <c r="H280" s="19" t="s">
        <v>912</v>
      </c>
      <c r="I280" s="19" t="s">
        <v>989</v>
      </c>
      <c r="J280" s="19" t="s">
        <v>1004</v>
      </c>
      <c r="K280" s="24">
        <v>46030</v>
      </c>
      <c r="L280" s="19"/>
      <c r="M280" s="19"/>
      <c r="N280" s="21">
        <v>0</v>
      </c>
      <c r="O280" s="23">
        <v>132.96</v>
      </c>
      <c r="P280" s="19" t="s">
        <v>1014</v>
      </c>
      <c r="Q280" s="20">
        <v>0</v>
      </c>
      <c r="R280" s="19" t="s">
        <v>1022</v>
      </c>
      <c r="S280" s="19"/>
    </row>
    <row r="281" spans="1:19">
      <c r="A281" s="19" t="s">
        <v>280</v>
      </c>
      <c r="B281" s="19" t="s">
        <v>825</v>
      </c>
      <c r="C281" s="19" t="s">
        <v>830</v>
      </c>
      <c r="D281" s="20">
        <v>1</v>
      </c>
      <c r="E281" s="19" t="s">
        <v>838</v>
      </c>
      <c r="F281" s="19" t="s">
        <v>862</v>
      </c>
      <c r="G281" s="19" t="s">
        <v>886</v>
      </c>
      <c r="H281" s="19" t="s">
        <v>955</v>
      </c>
      <c r="I281" s="19" t="s">
        <v>1000</v>
      </c>
      <c r="J281" s="19" t="s">
        <v>1005</v>
      </c>
      <c r="K281" s="24">
        <v>46030</v>
      </c>
      <c r="L281" s="26">
        <v>46030.89722222222</v>
      </c>
      <c r="M281" s="26">
        <v>46031.07638888889</v>
      </c>
      <c r="N281" s="21">
        <v>0</v>
      </c>
      <c r="O281" s="23">
        <v>3389.88</v>
      </c>
      <c r="P281" s="19" t="s">
        <v>1014</v>
      </c>
      <c r="Q281" s="20">
        <v>0</v>
      </c>
      <c r="R281" s="19" t="s">
        <v>1021</v>
      </c>
      <c r="S281" s="19" t="s">
        <v>1032</v>
      </c>
    </row>
    <row r="282" spans="1:19">
      <c r="A282" s="19" t="s">
        <v>281</v>
      </c>
      <c r="B282" s="19" t="s">
        <v>823</v>
      </c>
      <c r="C282" s="19" t="s">
        <v>828</v>
      </c>
      <c r="D282" s="20">
        <v>0</v>
      </c>
      <c r="E282" s="19" t="s">
        <v>841</v>
      </c>
      <c r="F282" s="19" t="s">
        <v>865</v>
      </c>
      <c r="G282" s="19" t="s">
        <v>889</v>
      </c>
      <c r="H282" s="19" t="s">
        <v>909</v>
      </c>
      <c r="I282" s="19" t="s">
        <v>989</v>
      </c>
      <c r="J282" s="19" t="s">
        <v>1004</v>
      </c>
      <c r="K282" s="24">
        <v>46031</v>
      </c>
      <c r="L282" s="19"/>
      <c r="M282" s="19"/>
      <c r="N282" s="21">
        <v>0</v>
      </c>
      <c r="O282" s="23">
        <v>1220.01</v>
      </c>
      <c r="P282" s="19" t="s">
        <v>1014</v>
      </c>
      <c r="Q282" s="20">
        <v>0</v>
      </c>
      <c r="R282" s="19" t="s">
        <v>1023</v>
      </c>
      <c r="S282" s="19"/>
    </row>
    <row r="283" spans="1:19">
      <c r="A283" s="19" t="s">
        <v>282</v>
      </c>
      <c r="B283" s="19" t="s">
        <v>823</v>
      </c>
      <c r="C283" s="19" t="s">
        <v>828</v>
      </c>
      <c r="D283" s="20">
        <v>0</v>
      </c>
      <c r="E283" s="19" t="s">
        <v>838</v>
      </c>
      <c r="F283" s="19" t="s">
        <v>862</v>
      </c>
      <c r="G283" s="19" t="s">
        <v>886</v>
      </c>
      <c r="H283" s="19" t="s">
        <v>907</v>
      </c>
      <c r="I283" s="19" t="s">
        <v>989</v>
      </c>
      <c r="J283" s="19" t="s">
        <v>1004</v>
      </c>
      <c r="K283" s="24">
        <v>46031</v>
      </c>
      <c r="L283" s="19"/>
      <c r="M283" s="19"/>
      <c r="N283" s="21">
        <v>0</v>
      </c>
      <c r="O283" s="23">
        <v>474.33</v>
      </c>
      <c r="P283" s="19" t="s">
        <v>1015</v>
      </c>
      <c r="Q283" s="20">
        <v>0</v>
      </c>
      <c r="R283" s="19" t="s">
        <v>1022</v>
      </c>
      <c r="S283" s="19"/>
    </row>
    <row r="284" spans="1:19">
      <c r="A284" s="19" t="s">
        <v>283</v>
      </c>
      <c r="B284" s="19" t="s">
        <v>823</v>
      </c>
      <c r="C284" s="19" t="s">
        <v>828</v>
      </c>
      <c r="D284" s="20">
        <v>0</v>
      </c>
      <c r="E284" s="19" t="s">
        <v>842</v>
      </c>
      <c r="F284" s="19" t="s">
        <v>866</v>
      </c>
      <c r="G284" s="19" t="s">
        <v>890</v>
      </c>
      <c r="H284" s="19" t="s">
        <v>911</v>
      </c>
      <c r="I284" s="19" t="s">
        <v>989</v>
      </c>
      <c r="J284" s="19" t="s">
        <v>1004</v>
      </c>
      <c r="K284" s="24">
        <v>46031</v>
      </c>
      <c r="L284" s="19"/>
      <c r="M284" s="19"/>
      <c r="N284" s="21">
        <v>0</v>
      </c>
      <c r="O284" s="23">
        <v>993.9299999999999</v>
      </c>
      <c r="P284" s="19" t="s">
        <v>1016</v>
      </c>
      <c r="Q284" s="20">
        <v>1</v>
      </c>
      <c r="R284" s="19" t="s">
        <v>1021</v>
      </c>
      <c r="S284" s="19"/>
    </row>
    <row r="285" spans="1:19">
      <c r="A285" s="19" t="s">
        <v>284</v>
      </c>
      <c r="B285" s="19" t="s">
        <v>824</v>
      </c>
      <c r="C285" s="19" t="s">
        <v>829</v>
      </c>
      <c r="D285" s="20">
        <v>0</v>
      </c>
      <c r="E285" s="19" t="s">
        <v>834</v>
      </c>
      <c r="F285" s="19" t="s">
        <v>858</v>
      </c>
      <c r="G285" s="19" t="s">
        <v>882</v>
      </c>
      <c r="H285" s="19" t="s">
        <v>925</v>
      </c>
      <c r="I285" s="19" t="s">
        <v>989</v>
      </c>
      <c r="J285" s="19" t="s">
        <v>1004</v>
      </c>
      <c r="K285" s="24">
        <v>46031</v>
      </c>
      <c r="L285" s="19"/>
      <c r="M285" s="19"/>
      <c r="N285" s="21">
        <v>0</v>
      </c>
      <c r="O285" s="23">
        <v>120</v>
      </c>
      <c r="P285" s="19" t="s">
        <v>1015</v>
      </c>
      <c r="Q285" s="20">
        <v>0</v>
      </c>
      <c r="R285" s="19" t="s">
        <v>1022</v>
      </c>
      <c r="S285" s="19"/>
    </row>
    <row r="286" spans="1:19">
      <c r="A286" s="19" t="s">
        <v>285</v>
      </c>
      <c r="B286" s="19" t="s">
        <v>825</v>
      </c>
      <c r="C286" s="19" t="s">
        <v>830</v>
      </c>
      <c r="D286" s="20">
        <v>1</v>
      </c>
      <c r="E286" s="19" t="s">
        <v>838</v>
      </c>
      <c r="F286" s="19" t="s">
        <v>862</v>
      </c>
      <c r="G286" s="19" t="s">
        <v>886</v>
      </c>
      <c r="H286" s="19" t="s">
        <v>923</v>
      </c>
      <c r="I286" s="19" t="s">
        <v>990</v>
      </c>
      <c r="J286" s="19" t="s">
        <v>1005</v>
      </c>
      <c r="K286" s="24">
        <v>46032</v>
      </c>
      <c r="L286" s="26">
        <v>46032.88958333333</v>
      </c>
      <c r="M286" s="26">
        <v>46033.03958333333</v>
      </c>
      <c r="N286" s="21">
        <v>0</v>
      </c>
      <c r="O286" s="23">
        <v>3629.38</v>
      </c>
      <c r="P286" s="19" t="s">
        <v>1015</v>
      </c>
      <c r="Q286" s="20">
        <v>0</v>
      </c>
      <c r="R286" s="19" t="s">
        <v>1023</v>
      </c>
      <c r="S286" s="19" t="s">
        <v>1026</v>
      </c>
    </row>
    <row r="287" spans="1:19">
      <c r="A287" s="19" t="s">
        <v>286</v>
      </c>
      <c r="B287" s="19" t="s">
        <v>823</v>
      </c>
      <c r="C287" s="19" t="s">
        <v>828</v>
      </c>
      <c r="D287" s="20">
        <v>0</v>
      </c>
      <c r="E287" s="19" t="s">
        <v>855</v>
      </c>
      <c r="F287" s="19" t="s">
        <v>879</v>
      </c>
      <c r="G287" s="19" t="s">
        <v>903</v>
      </c>
      <c r="H287" s="19" t="s">
        <v>912</v>
      </c>
      <c r="I287" s="19" t="s">
        <v>989</v>
      </c>
      <c r="J287" s="19" t="s">
        <v>1004</v>
      </c>
      <c r="K287" s="24">
        <v>46033</v>
      </c>
      <c r="L287" s="19"/>
      <c r="M287" s="19"/>
      <c r="N287" s="21">
        <v>0</v>
      </c>
      <c r="O287" s="23">
        <v>273.41</v>
      </c>
      <c r="P287" s="19" t="s">
        <v>1014</v>
      </c>
      <c r="Q287" s="20">
        <v>0</v>
      </c>
      <c r="R287" s="19" t="s">
        <v>1022</v>
      </c>
      <c r="S287" s="19"/>
    </row>
    <row r="288" spans="1:19">
      <c r="A288" s="19" t="s">
        <v>287</v>
      </c>
      <c r="B288" s="19" t="s">
        <v>823</v>
      </c>
      <c r="C288" s="19" t="s">
        <v>828</v>
      </c>
      <c r="D288" s="20">
        <v>0</v>
      </c>
      <c r="E288" s="19" t="s">
        <v>852</v>
      </c>
      <c r="F288" s="19" t="s">
        <v>876</v>
      </c>
      <c r="G288" s="19" t="s">
        <v>900</v>
      </c>
      <c r="H288" s="19" t="s">
        <v>909</v>
      </c>
      <c r="I288" s="19" t="s">
        <v>989</v>
      </c>
      <c r="J288" s="19" t="s">
        <v>1004</v>
      </c>
      <c r="K288" s="24">
        <v>46033</v>
      </c>
      <c r="L288" s="19"/>
      <c r="M288" s="19"/>
      <c r="N288" s="21">
        <v>0</v>
      </c>
      <c r="O288" s="23">
        <v>678.91</v>
      </c>
      <c r="P288" s="19" t="s">
        <v>1014</v>
      </c>
      <c r="Q288" s="20">
        <v>0</v>
      </c>
      <c r="R288" s="19" t="s">
        <v>1022</v>
      </c>
      <c r="S288" s="19"/>
    </row>
    <row r="289" spans="1:19">
      <c r="A289" s="19" t="s">
        <v>288</v>
      </c>
      <c r="B289" s="19" t="s">
        <v>824</v>
      </c>
      <c r="C289" s="19" t="s">
        <v>829</v>
      </c>
      <c r="D289" s="20">
        <v>0</v>
      </c>
      <c r="E289" s="19" t="s">
        <v>850</v>
      </c>
      <c r="F289" s="19" t="s">
        <v>874</v>
      </c>
      <c r="G289" s="19" t="s">
        <v>898</v>
      </c>
      <c r="H289" s="19" t="s">
        <v>910</v>
      </c>
      <c r="I289" s="19" t="s">
        <v>989</v>
      </c>
      <c r="J289" s="19" t="s">
        <v>1004</v>
      </c>
      <c r="K289" s="24">
        <v>46034</v>
      </c>
      <c r="L289" s="19"/>
      <c r="M289" s="19"/>
      <c r="N289" s="21">
        <v>0</v>
      </c>
      <c r="O289" s="23">
        <v>100</v>
      </c>
      <c r="P289" s="19" t="s">
        <v>1014</v>
      </c>
      <c r="Q289" s="20">
        <v>0</v>
      </c>
      <c r="R289" s="19" t="s">
        <v>1021</v>
      </c>
      <c r="S289" s="19"/>
    </row>
    <row r="290" spans="1:19">
      <c r="A290" s="19" t="s">
        <v>289</v>
      </c>
      <c r="B290" s="19" t="s">
        <v>825</v>
      </c>
      <c r="C290" s="19" t="s">
        <v>830</v>
      </c>
      <c r="D290" s="20">
        <v>1</v>
      </c>
      <c r="E290" s="19" t="s">
        <v>849</v>
      </c>
      <c r="F290" s="19" t="s">
        <v>873</v>
      </c>
      <c r="G290" s="19" t="s">
        <v>897</v>
      </c>
      <c r="H290" s="19" t="s">
        <v>956</v>
      </c>
      <c r="I290" s="19" t="s">
        <v>1001</v>
      </c>
      <c r="J290" s="19" t="s">
        <v>1006</v>
      </c>
      <c r="K290" s="24">
        <v>46034</v>
      </c>
      <c r="L290" s="26">
        <v>46034.80208333334</v>
      </c>
      <c r="M290" s="26">
        <v>46035.08958333333</v>
      </c>
      <c r="N290" s="21">
        <v>6.9</v>
      </c>
      <c r="O290" s="23">
        <v>12445.74</v>
      </c>
      <c r="P290" s="19" t="s">
        <v>1014</v>
      </c>
      <c r="Q290" s="20">
        <v>0</v>
      </c>
      <c r="R290" s="19" t="s">
        <v>1021</v>
      </c>
      <c r="S290" s="19"/>
    </row>
    <row r="291" spans="1:19">
      <c r="A291" s="19" t="s">
        <v>290</v>
      </c>
      <c r="B291" s="19" t="s">
        <v>823</v>
      </c>
      <c r="C291" s="19" t="s">
        <v>828</v>
      </c>
      <c r="D291" s="20">
        <v>0</v>
      </c>
      <c r="E291" s="19" t="s">
        <v>836</v>
      </c>
      <c r="F291" s="19" t="s">
        <v>860</v>
      </c>
      <c r="G291" s="19" t="s">
        <v>884</v>
      </c>
      <c r="H291" s="19" t="s">
        <v>917</v>
      </c>
      <c r="I291" s="19" t="s">
        <v>989</v>
      </c>
      <c r="J291" s="19" t="s">
        <v>1004</v>
      </c>
      <c r="K291" s="24">
        <v>46035</v>
      </c>
      <c r="L291" s="19"/>
      <c r="M291" s="19"/>
      <c r="N291" s="21">
        <v>0</v>
      </c>
      <c r="O291" s="23">
        <v>376.36</v>
      </c>
      <c r="P291" s="19" t="s">
        <v>1014</v>
      </c>
      <c r="Q291" s="20">
        <v>0</v>
      </c>
      <c r="R291" s="19" t="s">
        <v>1021</v>
      </c>
      <c r="S291" s="19"/>
    </row>
    <row r="292" spans="1:19">
      <c r="A292" s="19" t="s">
        <v>291</v>
      </c>
      <c r="B292" s="19" t="s">
        <v>825</v>
      </c>
      <c r="C292" s="19" t="s">
        <v>830</v>
      </c>
      <c r="D292" s="20">
        <v>1</v>
      </c>
      <c r="E292" s="19" t="s">
        <v>835</v>
      </c>
      <c r="F292" s="19" t="s">
        <v>859</v>
      </c>
      <c r="G292" s="19" t="s">
        <v>883</v>
      </c>
      <c r="H292" s="19" t="s">
        <v>957</v>
      </c>
      <c r="I292" s="19" t="s">
        <v>999</v>
      </c>
      <c r="J292" s="19" t="s">
        <v>1006</v>
      </c>
      <c r="K292" s="24">
        <v>46036</v>
      </c>
      <c r="L292" s="26">
        <v>46036.05</v>
      </c>
      <c r="M292" s="26">
        <v>46036.17083333333</v>
      </c>
      <c r="N292" s="21">
        <v>2.9</v>
      </c>
      <c r="O292" s="23">
        <v>2669.76</v>
      </c>
      <c r="P292" s="19" t="s">
        <v>1015</v>
      </c>
      <c r="Q292" s="20">
        <v>0</v>
      </c>
      <c r="R292" s="19" t="s">
        <v>1023</v>
      </c>
      <c r="S292" s="19"/>
    </row>
    <row r="293" spans="1:19">
      <c r="A293" s="19" t="s">
        <v>292</v>
      </c>
      <c r="B293" s="19" t="s">
        <v>823</v>
      </c>
      <c r="C293" s="19" t="s">
        <v>828</v>
      </c>
      <c r="D293" s="20">
        <v>0</v>
      </c>
      <c r="E293" s="19" t="s">
        <v>835</v>
      </c>
      <c r="F293" s="19" t="s">
        <v>859</v>
      </c>
      <c r="G293" s="19" t="s">
        <v>883</v>
      </c>
      <c r="H293" s="19" t="s">
        <v>912</v>
      </c>
      <c r="I293" s="19" t="s">
        <v>989</v>
      </c>
      <c r="J293" s="19" t="s">
        <v>1004</v>
      </c>
      <c r="K293" s="24">
        <v>46036</v>
      </c>
      <c r="L293" s="19"/>
      <c r="M293" s="19"/>
      <c r="N293" s="21">
        <v>0</v>
      </c>
      <c r="O293" s="23">
        <v>285.27</v>
      </c>
      <c r="P293" s="19" t="s">
        <v>1014</v>
      </c>
      <c r="Q293" s="20">
        <v>0</v>
      </c>
      <c r="R293" s="19" t="s">
        <v>1022</v>
      </c>
      <c r="S293" s="19"/>
    </row>
    <row r="294" spans="1:19">
      <c r="A294" s="19" t="s">
        <v>293</v>
      </c>
      <c r="B294" s="19" t="s">
        <v>823</v>
      </c>
      <c r="C294" s="19" t="s">
        <v>828</v>
      </c>
      <c r="D294" s="20">
        <v>0</v>
      </c>
      <c r="E294" s="19" t="s">
        <v>840</v>
      </c>
      <c r="F294" s="19" t="s">
        <v>864</v>
      </c>
      <c r="G294" s="19" t="s">
        <v>888</v>
      </c>
      <c r="H294" s="19" t="s">
        <v>917</v>
      </c>
      <c r="I294" s="19" t="s">
        <v>989</v>
      </c>
      <c r="J294" s="19" t="s">
        <v>1004</v>
      </c>
      <c r="K294" s="24">
        <v>46036</v>
      </c>
      <c r="L294" s="19"/>
      <c r="M294" s="19"/>
      <c r="N294" s="21">
        <v>0</v>
      </c>
      <c r="O294" s="23">
        <v>645.51</v>
      </c>
      <c r="P294" s="19" t="s">
        <v>1014</v>
      </c>
      <c r="Q294" s="20">
        <v>0</v>
      </c>
      <c r="R294" s="19" t="s">
        <v>1022</v>
      </c>
      <c r="S294" s="19"/>
    </row>
    <row r="295" spans="1:19">
      <c r="A295" s="19" t="s">
        <v>294</v>
      </c>
      <c r="B295" s="19" t="s">
        <v>824</v>
      </c>
      <c r="C295" s="19" t="s">
        <v>829</v>
      </c>
      <c r="D295" s="20">
        <v>0</v>
      </c>
      <c r="E295" s="19" t="s">
        <v>854</v>
      </c>
      <c r="F295" s="19" t="s">
        <v>878</v>
      </c>
      <c r="G295" s="19" t="s">
        <v>902</v>
      </c>
      <c r="H295" s="19" t="s">
        <v>914</v>
      </c>
      <c r="I295" s="19" t="s">
        <v>989</v>
      </c>
      <c r="J295" s="19" t="s">
        <v>1004</v>
      </c>
      <c r="K295" s="24">
        <v>46036</v>
      </c>
      <c r="L295" s="19"/>
      <c r="M295" s="19"/>
      <c r="N295" s="21">
        <v>0</v>
      </c>
      <c r="O295" s="23">
        <v>120</v>
      </c>
      <c r="P295" s="19" t="s">
        <v>1014</v>
      </c>
      <c r="Q295" s="20">
        <v>0</v>
      </c>
      <c r="R295" s="19" t="s">
        <v>1021</v>
      </c>
      <c r="S295" s="19"/>
    </row>
    <row r="296" spans="1:19">
      <c r="A296" s="19" t="s">
        <v>295</v>
      </c>
      <c r="B296" s="19" t="s">
        <v>823</v>
      </c>
      <c r="C296" s="19" t="s">
        <v>828</v>
      </c>
      <c r="D296" s="20">
        <v>0</v>
      </c>
      <c r="E296" s="19" t="s">
        <v>834</v>
      </c>
      <c r="F296" s="19" t="s">
        <v>858</v>
      </c>
      <c r="G296" s="19" t="s">
        <v>882</v>
      </c>
      <c r="H296" s="19" t="s">
        <v>907</v>
      </c>
      <c r="I296" s="19" t="s">
        <v>989</v>
      </c>
      <c r="J296" s="19" t="s">
        <v>1004</v>
      </c>
      <c r="K296" s="24">
        <v>46037</v>
      </c>
      <c r="L296" s="19"/>
      <c r="M296" s="19"/>
      <c r="N296" s="21">
        <v>0</v>
      </c>
      <c r="O296" s="23">
        <v>189.51</v>
      </c>
      <c r="P296" s="19" t="s">
        <v>1015</v>
      </c>
      <c r="Q296" s="20">
        <v>0</v>
      </c>
      <c r="R296" s="19" t="s">
        <v>1023</v>
      </c>
      <c r="S296" s="19"/>
    </row>
    <row r="297" spans="1:19">
      <c r="A297" s="19" t="s">
        <v>296</v>
      </c>
      <c r="B297" s="19" t="s">
        <v>823</v>
      </c>
      <c r="C297" s="19" t="s">
        <v>828</v>
      </c>
      <c r="D297" s="20">
        <v>0</v>
      </c>
      <c r="E297" s="19" t="s">
        <v>846</v>
      </c>
      <c r="F297" s="19" t="s">
        <v>870</v>
      </c>
      <c r="G297" s="19" t="s">
        <v>894</v>
      </c>
      <c r="H297" s="19" t="s">
        <v>909</v>
      </c>
      <c r="I297" s="19" t="s">
        <v>989</v>
      </c>
      <c r="J297" s="19" t="s">
        <v>1004</v>
      </c>
      <c r="K297" s="24">
        <v>46037</v>
      </c>
      <c r="L297" s="19"/>
      <c r="M297" s="19"/>
      <c r="N297" s="21">
        <v>0</v>
      </c>
      <c r="O297" s="23">
        <v>371.61</v>
      </c>
      <c r="P297" s="19" t="s">
        <v>1015</v>
      </c>
      <c r="Q297" s="20">
        <v>0</v>
      </c>
      <c r="R297" s="19" t="s">
        <v>1022</v>
      </c>
      <c r="S297" s="19"/>
    </row>
    <row r="298" spans="1:19">
      <c r="A298" s="19" t="s">
        <v>297</v>
      </c>
      <c r="B298" s="19" t="s">
        <v>824</v>
      </c>
      <c r="C298" s="19" t="s">
        <v>829</v>
      </c>
      <c r="D298" s="20">
        <v>0</v>
      </c>
      <c r="E298" s="19" t="s">
        <v>844</v>
      </c>
      <c r="F298" s="19" t="s">
        <v>868</v>
      </c>
      <c r="G298" s="19" t="s">
        <v>892</v>
      </c>
      <c r="H298" s="19" t="s">
        <v>925</v>
      </c>
      <c r="I298" s="19" t="s">
        <v>989</v>
      </c>
      <c r="J298" s="19" t="s">
        <v>1004</v>
      </c>
      <c r="K298" s="24">
        <v>46037</v>
      </c>
      <c r="L298" s="19"/>
      <c r="M298" s="19"/>
      <c r="N298" s="21">
        <v>0</v>
      </c>
      <c r="O298" s="23">
        <v>140</v>
      </c>
      <c r="P298" s="19" t="s">
        <v>1014</v>
      </c>
      <c r="Q298" s="20">
        <v>0</v>
      </c>
      <c r="R298" s="19" t="s">
        <v>1023</v>
      </c>
      <c r="S298" s="19"/>
    </row>
    <row r="299" spans="1:19">
      <c r="A299" s="19" t="s">
        <v>298</v>
      </c>
      <c r="B299" s="19" t="s">
        <v>824</v>
      </c>
      <c r="C299" s="19" t="s">
        <v>829</v>
      </c>
      <c r="D299" s="20">
        <v>0</v>
      </c>
      <c r="E299" s="19" t="s">
        <v>849</v>
      </c>
      <c r="F299" s="19" t="s">
        <v>873</v>
      </c>
      <c r="G299" s="19" t="s">
        <v>897</v>
      </c>
      <c r="H299" s="19" t="s">
        <v>925</v>
      </c>
      <c r="I299" s="19" t="s">
        <v>989</v>
      </c>
      <c r="J299" s="19" t="s">
        <v>1004</v>
      </c>
      <c r="K299" s="24">
        <v>46037</v>
      </c>
      <c r="L299" s="19"/>
      <c r="M299" s="19"/>
      <c r="N299" s="21">
        <v>0</v>
      </c>
      <c r="O299" s="23">
        <v>320</v>
      </c>
      <c r="P299" s="19" t="s">
        <v>1014</v>
      </c>
      <c r="Q299" s="20">
        <v>0</v>
      </c>
      <c r="R299" s="19" t="s">
        <v>1022</v>
      </c>
      <c r="S299" s="19"/>
    </row>
    <row r="300" spans="1:19">
      <c r="A300" s="19" t="s">
        <v>299</v>
      </c>
      <c r="B300" s="19" t="s">
        <v>823</v>
      </c>
      <c r="C300" s="19" t="s">
        <v>828</v>
      </c>
      <c r="D300" s="20">
        <v>0</v>
      </c>
      <c r="E300" s="19" t="s">
        <v>844</v>
      </c>
      <c r="F300" s="19" t="s">
        <v>868</v>
      </c>
      <c r="G300" s="19" t="s">
        <v>892</v>
      </c>
      <c r="H300" s="19" t="s">
        <v>917</v>
      </c>
      <c r="I300" s="19" t="s">
        <v>989</v>
      </c>
      <c r="J300" s="19" t="s">
        <v>1004</v>
      </c>
      <c r="K300" s="24">
        <v>46038</v>
      </c>
      <c r="L300" s="19"/>
      <c r="M300" s="19"/>
      <c r="N300" s="21">
        <v>0</v>
      </c>
      <c r="O300" s="23">
        <v>461.48</v>
      </c>
      <c r="P300" s="19" t="s">
        <v>1014</v>
      </c>
      <c r="Q300" s="20">
        <v>0</v>
      </c>
      <c r="R300" s="19" t="s">
        <v>1023</v>
      </c>
      <c r="S300" s="19"/>
    </row>
    <row r="301" spans="1:19">
      <c r="A301" s="19" t="s">
        <v>300</v>
      </c>
      <c r="B301" s="19" t="s">
        <v>823</v>
      </c>
      <c r="C301" s="19" t="s">
        <v>828</v>
      </c>
      <c r="D301" s="20">
        <v>0</v>
      </c>
      <c r="E301" s="19" t="s">
        <v>845</v>
      </c>
      <c r="F301" s="19" t="s">
        <v>869</v>
      </c>
      <c r="G301" s="19" t="s">
        <v>893</v>
      </c>
      <c r="H301" s="19" t="s">
        <v>912</v>
      </c>
      <c r="I301" s="19" t="s">
        <v>989</v>
      </c>
      <c r="J301" s="19" t="s">
        <v>1004</v>
      </c>
      <c r="K301" s="24">
        <v>46039</v>
      </c>
      <c r="L301" s="19"/>
      <c r="M301" s="19"/>
      <c r="N301" s="21">
        <v>0</v>
      </c>
      <c r="O301" s="23">
        <v>1204.2</v>
      </c>
      <c r="P301" s="19" t="s">
        <v>1014</v>
      </c>
      <c r="Q301" s="20">
        <v>0</v>
      </c>
      <c r="R301" s="19" t="s">
        <v>1021</v>
      </c>
      <c r="S301" s="19"/>
    </row>
    <row r="302" spans="1:19">
      <c r="A302" s="19" t="s">
        <v>301</v>
      </c>
      <c r="B302" s="19" t="s">
        <v>823</v>
      </c>
      <c r="C302" s="19" t="s">
        <v>828</v>
      </c>
      <c r="D302" s="20">
        <v>0</v>
      </c>
      <c r="E302" s="19" t="s">
        <v>843</v>
      </c>
      <c r="F302" s="19" t="s">
        <v>867</v>
      </c>
      <c r="G302" s="19" t="s">
        <v>891</v>
      </c>
      <c r="H302" s="19" t="s">
        <v>924</v>
      </c>
      <c r="I302" s="19" t="s">
        <v>989</v>
      </c>
      <c r="J302" s="19" t="s">
        <v>1004</v>
      </c>
      <c r="K302" s="24">
        <v>46039</v>
      </c>
      <c r="L302" s="19"/>
      <c r="M302" s="19"/>
      <c r="N302" s="21">
        <v>0</v>
      </c>
      <c r="O302" s="23">
        <v>571.03</v>
      </c>
      <c r="P302" s="19" t="s">
        <v>1015</v>
      </c>
      <c r="Q302" s="20">
        <v>0</v>
      </c>
      <c r="R302" s="19" t="s">
        <v>1021</v>
      </c>
      <c r="S302" s="19"/>
    </row>
    <row r="303" spans="1:19">
      <c r="A303" s="19" t="s">
        <v>302</v>
      </c>
      <c r="B303" s="19" t="s">
        <v>823</v>
      </c>
      <c r="C303" s="19" t="s">
        <v>828</v>
      </c>
      <c r="D303" s="20">
        <v>0</v>
      </c>
      <c r="E303" s="19" t="s">
        <v>853</v>
      </c>
      <c r="F303" s="19" t="s">
        <v>877</v>
      </c>
      <c r="G303" s="19" t="s">
        <v>901</v>
      </c>
      <c r="H303" s="19" t="s">
        <v>911</v>
      </c>
      <c r="I303" s="19" t="s">
        <v>989</v>
      </c>
      <c r="J303" s="19" t="s">
        <v>1004</v>
      </c>
      <c r="K303" s="24">
        <v>46039</v>
      </c>
      <c r="L303" s="19"/>
      <c r="M303" s="19"/>
      <c r="N303" s="21">
        <v>0</v>
      </c>
      <c r="O303" s="23">
        <v>346.11</v>
      </c>
      <c r="P303" s="19" t="s">
        <v>1015</v>
      </c>
      <c r="Q303" s="20">
        <v>0</v>
      </c>
      <c r="R303" s="19" t="s">
        <v>1021</v>
      </c>
      <c r="S303" s="19"/>
    </row>
    <row r="304" spans="1:19">
      <c r="A304" s="19" t="s">
        <v>303</v>
      </c>
      <c r="B304" s="19" t="s">
        <v>823</v>
      </c>
      <c r="C304" s="19" t="s">
        <v>828</v>
      </c>
      <c r="D304" s="20">
        <v>0</v>
      </c>
      <c r="E304" s="19" t="s">
        <v>849</v>
      </c>
      <c r="F304" s="19" t="s">
        <v>873</v>
      </c>
      <c r="G304" s="19" t="s">
        <v>897</v>
      </c>
      <c r="H304" s="19" t="s">
        <v>912</v>
      </c>
      <c r="I304" s="19" t="s">
        <v>989</v>
      </c>
      <c r="J304" s="19" t="s">
        <v>1004</v>
      </c>
      <c r="K304" s="24">
        <v>46039</v>
      </c>
      <c r="L304" s="19"/>
      <c r="M304" s="19"/>
      <c r="N304" s="21">
        <v>0</v>
      </c>
      <c r="O304" s="23">
        <v>766.97</v>
      </c>
      <c r="P304" s="19" t="s">
        <v>1015</v>
      </c>
      <c r="Q304" s="20">
        <v>0</v>
      </c>
      <c r="R304" s="19" t="s">
        <v>1023</v>
      </c>
      <c r="S304" s="19"/>
    </row>
    <row r="305" spans="1:19">
      <c r="A305" s="19" t="s">
        <v>304</v>
      </c>
      <c r="B305" s="19" t="s">
        <v>825</v>
      </c>
      <c r="C305" s="19" t="s">
        <v>830</v>
      </c>
      <c r="D305" s="20">
        <v>1</v>
      </c>
      <c r="E305" s="19" t="s">
        <v>844</v>
      </c>
      <c r="F305" s="19" t="s">
        <v>868</v>
      </c>
      <c r="G305" s="19" t="s">
        <v>892</v>
      </c>
      <c r="H305" s="19" t="s">
        <v>922</v>
      </c>
      <c r="I305" s="19" t="s">
        <v>996</v>
      </c>
      <c r="J305" s="19" t="s">
        <v>1006</v>
      </c>
      <c r="K305" s="24">
        <v>46039</v>
      </c>
      <c r="L305" s="26">
        <v>46039.31111111111</v>
      </c>
      <c r="M305" s="26">
        <v>46039.51527777778</v>
      </c>
      <c r="N305" s="21">
        <v>4.9</v>
      </c>
      <c r="O305" s="23">
        <v>1688.24</v>
      </c>
      <c r="P305" s="19" t="s">
        <v>1014</v>
      </c>
      <c r="Q305" s="20">
        <v>0</v>
      </c>
      <c r="R305" s="19" t="s">
        <v>1023</v>
      </c>
      <c r="S305" s="19"/>
    </row>
    <row r="306" spans="1:19">
      <c r="A306" s="19" t="s">
        <v>305</v>
      </c>
      <c r="B306" s="19" t="s">
        <v>826</v>
      </c>
      <c r="C306" s="19" t="s">
        <v>831</v>
      </c>
      <c r="D306" s="20">
        <v>1</v>
      </c>
      <c r="E306" s="19" t="s">
        <v>845</v>
      </c>
      <c r="F306" s="19" t="s">
        <v>869</v>
      </c>
      <c r="G306" s="19" t="s">
        <v>893</v>
      </c>
      <c r="H306" s="19" t="s">
        <v>958</v>
      </c>
      <c r="I306" s="19" t="s">
        <v>992</v>
      </c>
      <c r="J306" s="19" t="s">
        <v>1005</v>
      </c>
      <c r="K306" s="24">
        <v>46039</v>
      </c>
      <c r="L306" s="26">
        <v>46039.47222222222</v>
      </c>
      <c r="M306" s="26">
        <v>46039.88055555556</v>
      </c>
      <c r="N306" s="21">
        <v>9.800000000000001</v>
      </c>
      <c r="O306" s="23">
        <v>15297.26</v>
      </c>
      <c r="P306" s="19" t="s">
        <v>1015</v>
      </c>
      <c r="Q306" s="20">
        <v>0</v>
      </c>
      <c r="R306" s="19" t="s">
        <v>1024</v>
      </c>
      <c r="S306" s="19" t="s">
        <v>1034</v>
      </c>
    </row>
    <row r="307" spans="1:19">
      <c r="A307" s="19" t="s">
        <v>306</v>
      </c>
      <c r="B307" s="19" t="s">
        <v>826</v>
      </c>
      <c r="C307" s="19" t="s">
        <v>831</v>
      </c>
      <c r="D307" s="20">
        <v>1</v>
      </c>
      <c r="E307" s="19" t="s">
        <v>843</v>
      </c>
      <c r="F307" s="19" t="s">
        <v>867</v>
      </c>
      <c r="G307" s="19" t="s">
        <v>891</v>
      </c>
      <c r="H307" s="19" t="s">
        <v>947</v>
      </c>
      <c r="I307" s="19" t="s">
        <v>1000</v>
      </c>
      <c r="J307" s="19" t="s">
        <v>1005</v>
      </c>
      <c r="K307" s="24">
        <v>46040</v>
      </c>
      <c r="L307" s="26">
        <v>46040.39236111111</v>
      </c>
      <c r="M307" s="26">
        <v>46040.61736111111</v>
      </c>
      <c r="N307" s="21">
        <v>5.4</v>
      </c>
      <c r="O307" s="23">
        <v>1951.26</v>
      </c>
      <c r="P307" s="19" t="s">
        <v>1015</v>
      </c>
      <c r="Q307" s="20">
        <v>0</v>
      </c>
      <c r="R307" s="19" t="s">
        <v>1024</v>
      </c>
      <c r="S307" s="19" t="s">
        <v>1032</v>
      </c>
    </row>
    <row r="308" spans="1:19">
      <c r="A308" s="19" t="s">
        <v>307</v>
      </c>
      <c r="B308" s="19" t="s">
        <v>823</v>
      </c>
      <c r="C308" s="19" t="s">
        <v>828</v>
      </c>
      <c r="D308" s="20">
        <v>0</v>
      </c>
      <c r="E308" s="19" t="s">
        <v>839</v>
      </c>
      <c r="F308" s="19" t="s">
        <v>863</v>
      </c>
      <c r="G308" s="19" t="s">
        <v>887</v>
      </c>
      <c r="H308" s="19" t="s">
        <v>924</v>
      </c>
      <c r="I308" s="19" t="s">
        <v>989</v>
      </c>
      <c r="J308" s="19" t="s">
        <v>1004</v>
      </c>
      <c r="K308" s="24">
        <v>46041</v>
      </c>
      <c r="L308" s="19"/>
      <c r="M308" s="19"/>
      <c r="N308" s="21">
        <v>0</v>
      </c>
      <c r="O308" s="23">
        <v>508.08</v>
      </c>
      <c r="P308" s="19" t="s">
        <v>1016</v>
      </c>
      <c r="Q308" s="20">
        <v>1</v>
      </c>
      <c r="R308" s="19" t="s">
        <v>1021</v>
      </c>
      <c r="S308" s="19"/>
    </row>
    <row r="309" spans="1:19">
      <c r="A309" s="19" t="s">
        <v>308</v>
      </c>
      <c r="B309" s="19" t="s">
        <v>823</v>
      </c>
      <c r="C309" s="19" t="s">
        <v>828</v>
      </c>
      <c r="D309" s="20">
        <v>0</v>
      </c>
      <c r="E309" s="19" t="s">
        <v>850</v>
      </c>
      <c r="F309" s="19" t="s">
        <v>874</v>
      </c>
      <c r="G309" s="19" t="s">
        <v>898</v>
      </c>
      <c r="H309" s="19" t="s">
        <v>911</v>
      </c>
      <c r="I309" s="19" t="s">
        <v>989</v>
      </c>
      <c r="J309" s="19" t="s">
        <v>1004</v>
      </c>
      <c r="K309" s="24">
        <v>46042</v>
      </c>
      <c r="L309" s="19"/>
      <c r="M309" s="19"/>
      <c r="N309" s="21">
        <v>0</v>
      </c>
      <c r="O309" s="23">
        <v>257.11</v>
      </c>
      <c r="P309" s="19" t="s">
        <v>1015</v>
      </c>
      <c r="Q309" s="20">
        <v>0</v>
      </c>
      <c r="R309" s="19" t="s">
        <v>1023</v>
      </c>
      <c r="S309" s="19"/>
    </row>
    <row r="310" spans="1:19">
      <c r="A310" s="19" t="s">
        <v>309</v>
      </c>
      <c r="B310" s="19" t="s">
        <v>826</v>
      </c>
      <c r="C310" s="19" t="s">
        <v>831</v>
      </c>
      <c r="D310" s="20">
        <v>1</v>
      </c>
      <c r="E310" s="19" t="s">
        <v>843</v>
      </c>
      <c r="F310" s="19" t="s">
        <v>867</v>
      </c>
      <c r="G310" s="19" t="s">
        <v>891</v>
      </c>
      <c r="H310" s="19" t="s">
        <v>959</v>
      </c>
      <c r="I310" s="19" t="s">
        <v>1000</v>
      </c>
      <c r="J310" s="19" t="s">
        <v>1006</v>
      </c>
      <c r="K310" s="24">
        <v>46043</v>
      </c>
      <c r="L310" s="26">
        <v>46043.29722222222</v>
      </c>
      <c r="M310" s="26">
        <v>46043.68055555555</v>
      </c>
      <c r="N310" s="21">
        <v>9.199999999999999</v>
      </c>
      <c r="O310" s="23">
        <v>1899.93</v>
      </c>
      <c r="P310" s="19" t="s">
        <v>1015</v>
      </c>
      <c r="Q310" s="20">
        <v>0</v>
      </c>
      <c r="R310" s="19" t="s">
        <v>1024</v>
      </c>
      <c r="S310" s="19"/>
    </row>
    <row r="311" spans="1:19">
      <c r="A311" s="19" t="s">
        <v>310</v>
      </c>
      <c r="B311" s="19" t="s">
        <v>824</v>
      </c>
      <c r="C311" s="19" t="s">
        <v>829</v>
      </c>
      <c r="D311" s="20">
        <v>0</v>
      </c>
      <c r="E311" s="19" t="s">
        <v>848</v>
      </c>
      <c r="F311" s="19" t="s">
        <v>872</v>
      </c>
      <c r="G311" s="19" t="s">
        <v>896</v>
      </c>
      <c r="H311" s="19" t="s">
        <v>914</v>
      </c>
      <c r="I311" s="19" t="s">
        <v>989</v>
      </c>
      <c r="J311" s="19" t="s">
        <v>1004</v>
      </c>
      <c r="K311" s="24">
        <v>46043</v>
      </c>
      <c r="L311" s="19"/>
      <c r="M311" s="19"/>
      <c r="N311" s="21">
        <v>0</v>
      </c>
      <c r="O311" s="23">
        <v>600</v>
      </c>
      <c r="P311" s="19" t="s">
        <v>1015</v>
      </c>
      <c r="Q311" s="20">
        <v>0</v>
      </c>
      <c r="R311" s="19" t="s">
        <v>1021</v>
      </c>
      <c r="S311" s="19"/>
    </row>
    <row r="312" spans="1:19">
      <c r="A312" s="19" t="s">
        <v>311</v>
      </c>
      <c r="B312" s="19" t="s">
        <v>825</v>
      </c>
      <c r="C312" s="19" t="s">
        <v>830</v>
      </c>
      <c r="D312" s="20">
        <v>1</v>
      </c>
      <c r="E312" s="19" t="s">
        <v>845</v>
      </c>
      <c r="F312" s="19" t="s">
        <v>869</v>
      </c>
      <c r="G312" s="19" t="s">
        <v>893</v>
      </c>
      <c r="H312" s="19" t="s">
        <v>960</v>
      </c>
      <c r="I312" s="19" t="s">
        <v>997</v>
      </c>
      <c r="J312" s="19" t="s">
        <v>1005</v>
      </c>
      <c r="K312" s="24">
        <v>46044</v>
      </c>
      <c r="L312" s="26">
        <v>46044.16805555556</v>
      </c>
      <c r="M312" s="26">
        <v>46044.41805555556</v>
      </c>
      <c r="N312" s="21">
        <v>6</v>
      </c>
      <c r="O312" s="23">
        <v>9591.32</v>
      </c>
      <c r="P312" s="19" t="s">
        <v>1014</v>
      </c>
      <c r="Q312" s="20">
        <v>0</v>
      </c>
      <c r="R312" s="19" t="s">
        <v>1023</v>
      </c>
      <c r="S312" s="19" t="s">
        <v>1029</v>
      </c>
    </row>
    <row r="313" spans="1:19">
      <c r="A313" s="19" t="s">
        <v>312</v>
      </c>
      <c r="B313" s="19" t="s">
        <v>823</v>
      </c>
      <c r="C313" s="19" t="s">
        <v>828</v>
      </c>
      <c r="D313" s="20">
        <v>0</v>
      </c>
      <c r="E313" s="19" t="s">
        <v>848</v>
      </c>
      <c r="F313" s="19" t="s">
        <v>872</v>
      </c>
      <c r="G313" s="19" t="s">
        <v>896</v>
      </c>
      <c r="H313" s="19" t="s">
        <v>911</v>
      </c>
      <c r="I313" s="19" t="s">
        <v>989</v>
      </c>
      <c r="J313" s="19" t="s">
        <v>1004</v>
      </c>
      <c r="K313" s="24">
        <v>46044</v>
      </c>
      <c r="L313" s="19"/>
      <c r="M313" s="19"/>
      <c r="N313" s="21">
        <v>0</v>
      </c>
      <c r="O313" s="23">
        <v>1548.53</v>
      </c>
      <c r="P313" s="19" t="s">
        <v>1014</v>
      </c>
      <c r="Q313" s="20">
        <v>0</v>
      </c>
      <c r="R313" s="19" t="s">
        <v>1021</v>
      </c>
      <c r="S313" s="19"/>
    </row>
    <row r="314" spans="1:19">
      <c r="A314" s="19" t="s">
        <v>313</v>
      </c>
      <c r="B314" s="19" t="s">
        <v>823</v>
      </c>
      <c r="C314" s="19" t="s">
        <v>828</v>
      </c>
      <c r="D314" s="20">
        <v>0</v>
      </c>
      <c r="E314" s="19" t="s">
        <v>842</v>
      </c>
      <c r="F314" s="19" t="s">
        <v>866</v>
      </c>
      <c r="G314" s="19" t="s">
        <v>890</v>
      </c>
      <c r="H314" s="19" t="s">
        <v>906</v>
      </c>
      <c r="I314" s="19" t="s">
        <v>989</v>
      </c>
      <c r="J314" s="19" t="s">
        <v>1004</v>
      </c>
      <c r="K314" s="24">
        <v>46045</v>
      </c>
      <c r="L314" s="19"/>
      <c r="M314" s="19"/>
      <c r="N314" s="21">
        <v>0</v>
      </c>
      <c r="O314" s="23">
        <v>1114.79</v>
      </c>
      <c r="P314" s="19" t="s">
        <v>1014</v>
      </c>
      <c r="Q314" s="20">
        <v>0</v>
      </c>
      <c r="R314" s="19" t="s">
        <v>1023</v>
      </c>
      <c r="S314" s="19"/>
    </row>
    <row r="315" spans="1:19">
      <c r="A315" s="19" t="s">
        <v>314</v>
      </c>
      <c r="B315" s="19" t="s">
        <v>824</v>
      </c>
      <c r="C315" s="19" t="s">
        <v>829</v>
      </c>
      <c r="D315" s="20">
        <v>0</v>
      </c>
      <c r="E315" s="19" t="s">
        <v>856</v>
      </c>
      <c r="F315" s="19" t="s">
        <v>880</v>
      </c>
      <c r="G315" s="19" t="s">
        <v>904</v>
      </c>
      <c r="H315" s="19" t="s">
        <v>908</v>
      </c>
      <c r="I315" s="19" t="s">
        <v>989</v>
      </c>
      <c r="J315" s="19" t="s">
        <v>1004</v>
      </c>
      <c r="K315" s="24">
        <v>46045</v>
      </c>
      <c r="L315" s="19"/>
      <c r="M315" s="19"/>
      <c r="N315" s="21">
        <v>0</v>
      </c>
      <c r="O315" s="23">
        <v>48</v>
      </c>
      <c r="P315" s="19" t="s">
        <v>1014</v>
      </c>
      <c r="Q315" s="20">
        <v>0</v>
      </c>
      <c r="R315" s="19" t="s">
        <v>1023</v>
      </c>
      <c r="S315" s="19"/>
    </row>
    <row r="316" spans="1:19">
      <c r="A316" s="19" t="s">
        <v>315</v>
      </c>
      <c r="B316" s="19" t="s">
        <v>823</v>
      </c>
      <c r="C316" s="19" t="s">
        <v>828</v>
      </c>
      <c r="D316" s="20">
        <v>0</v>
      </c>
      <c r="E316" s="19" t="s">
        <v>851</v>
      </c>
      <c r="F316" s="19" t="s">
        <v>875</v>
      </c>
      <c r="G316" s="19" t="s">
        <v>899</v>
      </c>
      <c r="H316" s="19" t="s">
        <v>924</v>
      </c>
      <c r="I316" s="19" t="s">
        <v>989</v>
      </c>
      <c r="J316" s="19" t="s">
        <v>1004</v>
      </c>
      <c r="K316" s="24">
        <v>46046</v>
      </c>
      <c r="L316" s="19"/>
      <c r="M316" s="19"/>
      <c r="N316" s="21">
        <v>0</v>
      </c>
      <c r="O316" s="23">
        <v>963.67</v>
      </c>
      <c r="P316" s="19" t="s">
        <v>1015</v>
      </c>
      <c r="Q316" s="20">
        <v>0</v>
      </c>
      <c r="R316" s="19" t="s">
        <v>1022</v>
      </c>
      <c r="S316" s="19"/>
    </row>
    <row r="317" spans="1:19">
      <c r="A317" s="19" t="s">
        <v>316</v>
      </c>
      <c r="B317" s="19" t="s">
        <v>824</v>
      </c>
      <c r="C317" s="19" t="s">
        <v>829</v>
      </c>
      <c r="D317" s="20">
        <v>0</v>
      </c>
      <c r="E317" s="19" t="s">
        <v>842</v>
      </c>
      <c r="F317" s="19" t="s">
        <v>866</v>
      </c>
      <c r="G317" s="19" t="s">
        <v>890</v>
      </c>
      <c r="H317" s="19" t="s">
        <v>910</v>
      </c>
      <c r="I317" s="19" t="s">
        <v>989</v>
      </c>
      <c r="J317" s="19" t="s">
        <v>1004</v>
      </c>
      <c r="K317" s="24">
        <v>46046</v>
      </c>
      <c r="L317" s="19"/>
      <c r="M317" s="19"/>
      <c r="N317" s="21">
        <v>0</v>
      </c>
      <c r="O317" s="23">
        <v>320</v>
      </c>
      <c r="P317" s="19" t="s">
        <v>1015</v>
      </c>
      <c r="Q317" s="20">
        <v>0</v>
      </c>
      <c r="R317" s="19" t="s">
        <v>1021</v>
      </c>
      <c r="S317" s="19"/>
    </row>
    <row r="318" spans="1:19">
      <c r="A318" s="19" t="s">
        <v>317</v>
      </c>
      <c r="B318" s="19" t="s">
        <v>826</v>
      </c>
      <c r="C318" s="19" t="s">
        <v>831</v>
      </c>
      <c r="D318" s="20">
        <v>1</v>
      </c>
      <c r="E318" s="19" t="s">
        <v>838</v>
      </c>
      <c r="F318" s="19" t="s">
        <v>862</v>
      </c>
      <c r="G318" s="19" t="s">
        <v>886</v>
      </c>
      <c r="H318" s="19" t="s">
        <v>959</v>
      </c>
      <c r="I318" s="19" t="s">
        <v>1000</v>
      </c>
      <c r="J318" s="19" t="s">
        <v>1006</v>
      </c>
      <c r="K318" s="24">
        <v>46046</v>
      </c>
      <c r="L318" s="26">
        <v>46046.90902777778</v>
      </c>
      <c r="M318" s="26">
        <v>46047.19652777778</v>
      </c>
      <c r="N318" s="21">
        <v>6.9</v>
      </c>
      <c r="O318" s="23">
        <v>2069.59</v>
      </c>
      <c r="P318" s="19" t="s">
        <v>1016</v>
      </c>
      <c r="Q318" s="20">
        <v>1</v>
      </c>
      <c r="R318" s="19" t="s">
        <v>1024</v>
      </c>
      <c r="S318" s="19"/>
    </row>
    <row r="319" spans="1:19">
      <c r="A319" s="19" t="s">
        <v>318</v>
      </c>
      <c r="B319" s="19" t="s">
        <v>823</v>
      </c>
      <c r="C319" s="19" t="s">
        <v>828</v>
      </c>
      <c r="D319" s="20">
        <v>0</v>
      </c>
      <c r="E319" s="19" t="s">
        <v>841</v>
      </c>
      <c r="F319" s="19" t="s">
        <v>865</v>
      </c>
      <c r="G319" s="19" t="s">
        <v>889</v>
      </c>
      <c r="H319" s="19" t="s">
        <v>911</v>
      </c>
      <c r="I319" s="19" t="s">
        <v>989</v>
      </c>
      <c r="J319" s="19" t="s">
        <v>1004</v>
      </c>
      <c r="K319" s="24">
        <v>46047</v>
      </c>
      <c r="L319" s="19"/>
      <c r="M319" s="19"/>
      <c r="N319" s="21">
        <v>0</v>
      </c>
      <c r="O319" s="23">
        <v>1003.41</v>
      </c>
      <c r="P319" s="19" t="s">
        <v>1014</v>
      </c>
      <c r="Q319" s="20">
        <v>0</v>
      </c>
      <c r="R319" s="19" t="s">
        <v>1023</v>
      </c>
      <c r="S319" s="19"/>
    </row>
    <row r="320" spans="1:19">
      <c r="A320" s="19" t="s">
        <v>319</v>
      </c>
      <c r="B320" s="19" t="s">
        <v>824</v>
      </c>
      <c r="C320" s="19" t="s">
        <v>829</v>
      </c>
      <c r="D320" s="20">
        <v>0</v>
      </c>
      <c r="E320" s="19" t="s">
        <v>841</v>
      </c>
      <c r="F320" s="19" t="s">
        <v>865</v>
      </c>
      <c r="G320" s="19" t="s">
        <v>889</v>
      </c>
      <c r="H320" s="19" t="s">
        <v>910</v>
      </c>
      <c r="I320" s="19" t="s">
        <v>989</v>
      </c>
      <c r="J320" s="19" t="s">
        <v>1004</v>
      </c>
      <c r="K320" s="24">
        <v>46049</v>
      </c>
      <c r="L320" s="19"/>
      <c r="M320" s="19"/>
      <c r="N320" s="21">
        <v>0</v>
      </c>
      <c r="O320" s="23">
        <v>480</v>
      </c>
      <c r="P320" s="19" t="s">
        <v>1015</v>
      </c>
      <c r="Q320" s="20">
        <v>0</v>
      </c>
      <c r="R320" s="19" t="s">
        <v>1022</v>
      </c>
      <c r="S320" s="19"/>
    </row>
    <row r="321" spans="1:19">
      <c r="A321" s="19" t="s">
        <v>320</v>
      </c>
      <c r="B321" s="19" t="s">
        <v>823</v>
      </c>
      <c r="C321" s="19" t="s">
        <v>828</v>
      </c>
      <c r="D321" s="20">
        <v>0</v>
      </c>
      <c r="E321" s="19" t="s">
        <v>847</v>
      </c>
      <c r="F321" s="19" t="s">
        <v>871</v>
      </c>
      <c r="G321" s="19" t="s">
        <v>895</v>
      </c>
      <c r="H321" s="19" t="s">
        <v>911</v>
      </c>
      <c r="I321" s="19" t="s">
        <v>989</v>
      </c>
      <c r="J321" s="19" t="s">
        <v>1004</v>
      </c>
      <c r="K321" s="24">
        <v>46050</v>
      </c>
      <c r="L321" s="19"/>
      <c r="M321" s="19"/>
      <c r="N321" s="21">
        <v>0</v>
      </c>
      <c r="O321" s="23">
        <v>538.21</v>
      </c>
      <c r="P321" s="19" t="s">
        <v>1015</v>
      </c>
      <c r="Q321" s="20">
        <v>0</v>
      </c>
      <c r="R321" s="19" t="s">
        <v>1023</v>
      </c>
      <c r="S321" s="19"/>
    </row>
    <row r="322" spans="1:19">
      <c r="A322" s="19" t="s">
        <v>321</v>
      </c>
      <c r="B322" s="19" t="s">
        <v>826</v>
      </c>
      <c r="C322" s="19" t="s">
        <v>831</v>
      </c>
      <c r="D322" s="20">
        <v>1</v>
      </c>
      <c r="E322" s="19" t="s">
        <v>854</v>
      </c>
      <c r="F322" s="19" t="s">
        <v>878</v>
      </c>
      <c r="G322" s="19" t="s">
        <v>902</v>
      </c>
      <c r="H322" s="19" t="s">
        <v>961</v>
      </c>
      <c r="I322" s="19" t="s">
        <v>1001</v>
      </c>
      <c r="J322" s="19" t="s">
        <v>1006</v>
      </c>
      <c r="K322" s="24">
        <v>46050</v>
      </c>
      <c r="L322" s="26">
        <v>46050.35486111111</v>
      </c>
      <c r="M322" s="26">
        <v>46050.48819444444</v>
      </c>
      <c r="N322" s="21">
        <v>3.2</v>
      </c>
      <c r="O322" s="23">
        <v>4213.07</v>
      </c>
      <c r="P322" s="19" t="s">
        <v>1014</v>
      </c>
      <c r="Q322" s="20">
        <v>0</v>
      </c>
      <c r="R322" s="19" t="s">
        <v>1024</v>
      </c>
      <c r="S322" s="19"/>
    </row>
    <row r="323" spans="1:19">
      <c r="A323" s="19" t="s">
        <v>322</v>
      </c>
      <c r="B323" s="19" t="s">
        <v>823</v>
      </c>
      <c r="C323" s="19" t="s">
        <v>828</v>
      </c>
      <c r="D323" s="20">
        <v>0</v>
      </c>
      <c r="E323" s="19" t="s">
        <v>838</v>
      </c>
      <c r="F323" s="19" t="s">
        <v>862</v>
      </c>
      <c r="G323" s="19" t="s">
        <v>886</v>
      </c>
      <c r="H323" s="19" t="s">
        <v>912</v>
      </c>
      <c r="I323" s="19" t="s">
        <v>989</v>
      </c>
      <c r="J323" s="19" t="s">
        <v>1004</v>
      </c>
      <c r="K323" s="24">
        <v>46051</v>
      </c>
      <c r="L323" s="19"/>
      <c r="M323" s="19"/>
      <c r="N323" s="21">
        <v>0</v>
      </c>
      <c r="O323" s="23">
        <v>305.87</v>
      </c>
      <c r="P323" s="19" t="s">
        <v>1014</v>
      </c>
      <c r="Q323" s="20">
        <v>0</v>
      </c>
      <c r="R323" s="19" t="s">
        <v>1022</v>
      </c>
      <c r="S323" s="19"/>
    </row>
    <row r="324" spans="1:19">
      <c r="A324" s="19" t="s">
        <v>323</v>
      </c>
      <c r="B324" s="19" t="s">
        <v>825</v>
      </c>
      <c r="C324" s="19" t="s">
        <v>830</v>
      </c>
      <c r="D324" s="20">
        <v>1</v>
      </c>
      <c r="E324" s="19" t="s">
        <v>843</v>
      </c>
      <c r="F324" s="19" t="s">
        <v>867</v>
      </c>
      <c r="G324" s="19" t="s">
        <v>891</v>
      </c>
      <c r="H324" s="19" t="s">
        <v>938</v>
      </c>
      <c r="I324" s="19" t="s">
        <v>1000</v>
      </c>
      <c r="J324" s="19" t="s">
        <v>1006</v>
      </c>
      <c r="K324" s="24">
        <v>46051</v>
      </c>
      <c r="L324" s="26">
        <v>46051.43680555555</v>
      </c>
      <c r="M324" s="26">
        <v>46051.78263888889</v>
      </c>
      <c r="N324" s="21">
        <v>8.300000000000001</v>
      </c>
      <c r="O324" s="23">
        <v>1706.33</v>
      </c>
      <c r="P324" s="19" t="s">
        <v>1014</v>
      </c>
      <c r="Q324" s="20">
        <v>0</v>
      </c>
      <c r="R324" s="19" t="s">
        <v>1023</v>
      </c>
      <c r="S324" s="19"/>
    </row>
    <row r="325" spans="1:19">
      <c r="A325" s="19" t="s">
        <v>324</v>
      </c>
      <c r="B325" s="19" t="s">
        <v>825</v>
      </c>
      <c r="C325" s="19" t="s">
        <v>830</v>
      </c>
      <c r="D325" s="20">
        <v>1</v>
      </c>
      <c r="E325" s="19" t="s">
        <v>838</v>
      </c>
      <c r="F325" s="19" t="s">
        <v>862</v>
      </c>
      <c r="G325" s="19" t="s">
        <v>886</v>
      </c>
      <c r="H325" s="19" t="s">
        <v>962</v>
      </c>
      <c r="I325" s="19" t="s">
        <v>1000</v>
      </c>
      <c r="J325" s="19" t="s">
        <v>1005</v>
      </c>
      <c r="K325" s="24">
        <v>46051</v>
      </c>
      <c r="L325" s="26">
        <v>46051.95416666667</v>
      </c>
      <c r="M325" s="26">
        <v>46052.1125</v>
      </c>
      <c r="N325" s="21">
        <v>0</v>
      </c>
      <c r="O325" s="23">
        <v>3185.7</v>
      </c>
      <c r="P325" s="19" t="s">
        <v>1015</v>
      </c>
      <c r="Q325" s="20">
        <v>0</v>
      </c>
      <c r="R325" s="19" t="s">
        <v>1023</v>
      </c>
      <c r="S325" s="19" t="s">
        <v>1032</v>
      </c>
    </row>
    <row r="326" spans="1:19">
      <c r="A326" s="19" t="s">
        <v>325</v>
      </c>
      <c r="B326" s="19" t="s">
        <v>823</v>
      </c>
      <c r="C326" s="19" t="s">
        <v>828</v>
      </c>
      <c r="D326" s="20">
        <v>0</v>
      </c>
      <c r="E326" s="19" t="s">
        <v>837</v>
      </c>
      <c r="F326" s="19" t="s">
        <v>861</v>
      </c>
      <c r="G326" s="19" t="s">
        <v>885</v>
      </c>
      <c r="H326" s="19" t="s">
        <v>911</v>
      </c>
      <c r="I326" s="19" t="s">
        <v>989</v>
      </c>
      <c r="J326" s="19" t="s">
        <v>1004</v>
      </c>
      <c r="K326" s="24">
        <v>46052</v>
      </c>
      <c r="L326" s="19"/>
      <c r="M326" s="19"/>
      <c r="N326" s="21">
        <v>0</v>
      </c>
      <c r="O326" s="23">
        <v>806.21</v>
      </c>
      <c r="P326" s="19" t="s">
        <v>1014</v>
      </c>
      <c r="Q326" s="20">
        <v>0</v>
      </c>
      <c r="R326" s="19" t="s">
        <v>1023</v>
      </c>
      <c r="S326" s="19"/>
    </row>
    <row r="327" spans="1:19">
      <c r="A327" s="19" t="s">
        <v>326</v>
      </c>
      <c r="B327" s="19" t="s">
        <v>823</v>
      </c>
      <c r="C327" s="19" t="s">
        <v>828</v>
      </c>
      <c r="D327" s="20">
        <v>0</v>
      </c>
      <c r="E327" s="19" t="s">
        <v>856</v>
      </c>
      <c r="F327" s="19" t="s">
        <v>880</v>
      </c>
      <c r="G327" s="19" t="s">
        <v>904</v>
      </c>
      <c r="H327" s="19" t="s">
        <v>909</v>
      </c>
      <c r="I327" s="19" t="s">
        <v>989</v>
      </c>
      <c r="J327" s="19" t="s">
        <v>1004</v>
      </c>
      <c r="K327" s="24">
        <v>46052</v>
      </c>
      <c r="L327" s="19"/>
      <c r="M327" s="19"/>
      <c r="N327" s="21">
        <v>0</v>
      </c>
      <c r="O327" s="23">
        <v>149.23</v>
      </c>
      <c r="P327" s="19" t="s">
        <v>1014</v>
      </c>
      <c r="Q327" s="20">
        <v>0</v>
      </c>
      <c r="R327" s="19" t="s">
        <v>1022</v>
      </c>
      <c r="S327" s="19"/>
    </row>
    <row r="328" spans="1:19">
      <c r="A328" s="19" t="s">
        <v>327</v>
      </c>
      <c r="B328" s="19" t="s">
        <v>823</v>
      </c>
      <c r="C328" s="19" t="s">
        <v>828</v>
      </c>
      <c r="D328" s="20">
        <v>0</v>
      </c>
      <c r="E328" s="19" t="s">
        <v>836</v>
      </c>
      <c r="F328" s="19" t="s">
        <v>860</v>
      </c>
      <c r="G328" s="19" t="s">
        <v>884</v>
      </c>
      <c r="H328" s="19" t="s">
        <v>924</v>
      </c>
      <c r="I328" s="19" t="s">
        <v>989</v>
      </c>
      <c r="J328" s="19" t="s">
        <v>1004</v>
      </c>
      <c r="K328" s="24">
        <v>46052</v>
      </c>
      <c r="L328" s="19"/>
      <c r="M328" s="19"/>
      <c r="N328" s="21">
        <v>0</v>
      </c>
      <c r="O328" s="23">
        <v>424.09</v>
      </c>
      <c r="P328" s="19" t="s">
        <v>1015</v>
      </c>
      <c r="Q328" s="20">
        <v>0</v>
      </c>
      <c r="R328" s="19" t="s">
        <v>1022</v>
      </c>
      <c r="S328" s="19"/>
    </row>
    <row r="329" spans="1:19">
      <c r="A329" s="19" t="s">
        <v>328</v>
      </c>
      <c r="B329" s="19" t="s">
        <v>823</v>
      </c>
      <c r="C329" s="19" t="s">
        <v>828</v>
      </c>
      <c r="D329" s="20">
        <v>0</v>
      </c>
      <c r="E329" s="19" t="s">
        <v>852</v>
      </c>
      <c r="F329" s="19" t="s">
        <v>876</v>
      </c>
      <c r="G329" s="19" t="s">
        <v>900</v>
      </c>
      <c r="H329" s="19" t="s">
        <v>924</v>
      </c>
      <c r="I329" s="19" t="s">
        <v>989</v>
      </c>
      <c r="J329" s="19" t="s">
        <v>1004</v>
      </c>
      <c r="K329" s="24">
        <v>46052</v>
      </c>
      <c r="L329" s="19"/>
      <c r="M329" s="19"/>
      <c r="N329" s="21">
        <v>0</v>
      </c>
      <c r="O329" s="23">
        <v>1127.68</v>
      </c>
      <c r="P329" s="19" t="s">
        <v>1015</v>
      </c>
      <c r="Q329" s="20">
        <v>0</v>
      </c>
      <c r="R329" s="19" t="s">
        <v>1023</v>
      </c>
      <c r="S329" s="19"/>
    </row>
    <row r="330" spans="1:19">
      <c r="A330" s="19" t="s">
        <v>329</v>
      </c>
      <c r="B330" s="19" t="s">
        <v>824</v>
      </c>
      <c r="C330" s="19" t="s">
        <v>829</v>
      </c>
      <c r="D330" s="20">
        <v>0</v>
      </c>
      <c r="E330" s="19" t="s">
        <v>838</v>
      </c>
      <c r="F330" s="19" t="s">
        <v>862</v>
      </c>
      <c r="G330" s="19" t="s">
        <v>886</v>
      </c>
      <c r="H330" s="19" t="s">
        <v>910</v>
      </c>
      <c r="I330" s="19" t="s">
        <v>989</v>
      </c>
      <c r="J330" s="19" t="s">
        <v>1004</v>
      </c>
      <c r="K330" s="24">
        <v>46052</v>
      </c>
      <c r="L330" s="19"/>
      <c r="M330" s="19"/>
      <c r="N330" s="21">
        <v>0</v>
      </c>
      <c r="O330" s="23">
        <v>80</v>
      </c>
      <c r="P330" s="19" t="s">
        <v>1014</v>
      </c>
      <c r="Q330" s="20">
        <v>0</v>
      </c>
      <c r="R330" s="19" t="s">
        <v>1021</v>
      </c>
      <c r="S330" s="19"/>
    </row>
    <row r="331" spans="1:19">
      <c r="A331" s="19" t="s">
        <v>330</v>
      </c>
      <c r="B331" s="19" t="s">
        <v>824</v>
      </c>
      <c r="C331" s="19" t="s">
        <v>829</v>
      </c>
      <c r="D331" s="20">
        <v>0</v>
      </c>
      <c r="E331" s="19" t="s">
        <v>839</v>
      </c>
      <c r="F331" s="19" t="s">
        <v>863</v>
      </c>
      <c r="G331" s="19" t="s">
        <v>887</v>
      </c>
      <c r="H331" s="19" t="s">
        <v>910</v>
      </c>
      <c r="I331" s="19" t="s">
        <v>989</v>
      </c>
      <c r="J331" s="19" t="s">
        <v>1004</v>
      </c>
      <c r="K331" s="24">
        <v>46052</v>
      </c>
      <c r="L331" s="19"/>
      <c r="M331" s="19"/>
      <c r="N331" s="21">
        <v>0</v>
      </c>
      <c r="O331" s="23">
        <v>160</v>
      </c>
      <c r="P331" s="19" t="s">
        <v>1015</v>
      </c>
      <c r="Q331" s="20">
        <v>0</v>
      </c>
      <c r="R331" s="19" t="s">
        <v>1023</v>
      </c>
      <c r="S331" s="19"/>
    </row>
    <row r="332" spans="1:19">
      <c r="A332" s="19" t="s">
        <v>331</v>
      </c>
      <c r="B332" s="19" t="s">
        <v>824</v>
      </c>
      <c r="C332" s="19" t="s">
        <v>829</v>
      </c>
      <c r="D332" s="20">
        <v>0</v>
      </c>
      <c r="E332" s="19" t="s">
        <v>855</v>
      </c>
      <c r="F332" s="19" t="s">
        <v>879</v>
      </c>
      <c r="G332" s="19" t="s">
        <v>903</v>
      </c>
      <c r="H332" s="19" t="s">
        <v>908</v>
      </c>
      <c r="I332" s="19" t="s">
        <v>989</v>
      </c>
      <c r="J332" s="19" t="s">
        <v>1004</v>
      </c>
      <c r="K332" s="24">
        <v>46052</v>
      </c>
      <c r="L332" s="19"/>
      <c r="M332" s="19"/>
      <c r="N332" s="21">
        <v>0</v>
      </c>
      <c r="O332" s="23">
        <v>100</v>
      </c>
      <c r="P332" s="19" t="s">
        <v>1015</v>
      </c>
      <c r="Q332" s="20">
        <v>0</v>
      </c>
      <c r="R332" s="19" t="s">
        <v>1023</v>
      </c>
      <c r="S332" s="19"/>
    </row>
    <row r="333" spans="1:19">
      <c r="A333" s="19" t="s">
        <v>332</v>
      </c>
      <c r="B333" s="19" t="s">
        <v>824</v>
      </c>
      <c r="C333" s="19" t="s">
        <v>829</v>
      </c>
      <c r="D333" s="20">
        <v>0</v>
      </c>
      <c r="E333" s="19" t="s">
        <v>840</v>
      </c>
      <c r="F333" s="19" t="s">
        <v>864</v>
      </c>
      <c r="G333" s="19" t="s">
        <v>888</v>
      </c>
      <c r="H333" s="19" t="s">
        <v>908</v>
      </c>
      <c r="I333" s="19" t="s">
        <v>989</v>
      </c>
      <c r="J333" s="19" t="s">
        <v>1004</v>
      </c>
      <c r="K333" s="24">
        <v>46052</v>
      </c>
      <c r="L333" s="19"/>
      <c r="M333" s="19"/>
      <c r="N333" s="21">
        <v>0</v>
      </c>
      <c r="O333" s="23">
        <v>240</v>
      </c>
      <c r="P333" s="19" t="s">
        <v>1015</v>
      </c>
      <c r="Q333" s="20">
        <v>0</v>
      </c>
      <c r="R333" s="19" t="s">
        <v>1022</v>
      </c>
      <c r="S333" s="19"/>
    </row>
    <row r="334" spans="1:19">
      <c r="A334" s="19" t="s">
        <v>333</v>
      </c>
      <c r="B334" s="19" t="s">
        <v>826</v>
      </c>
      <c r="C334" s="19" t="s">
        <v>831</v>
      </c>
      <c r="D334" s="20">
        <v>1</v>
      </c>
      <c r="E334" s="19" t="s">
        <v>852</v>
      </c>
      <c r="F334" s="19" t="s">
        <v>876</v>
      </c>
      <c r="G334" s="19" t="s">
        <v>900</v>
      </c>
      <c r="H334" s="19" t="s">
        <v>945</v>
      </c>
      <c r="I334" s="19" t="s">
        <v>1000</v>
      </c>
      <c r="J334" s="19" t="s">
        <v>1006</v>
      </c>
      <c r="K334" s="24">
        <v>46053</v>
      </c>
      <c r="L334" s="26">
        <v>46053.18263888889</v>
      </c>
      <c r="M334" s="26">
        <v>46054.11597222222</v>
      </c>
      <c r="N334" s="21">
        <v>22.4</v>
      </c>
      <c r="O334" s="23">
        <v>11680.48</v>
      </c>
      <c r="P334" s="19" t="s">
        <v>1015</v>
      </c>
      <c r="Q334" s="20">
        <v>0</v>
      </c>
      <c r="R334" s="19" t="s">
        <v>1024</v>
      </c>
      <c r="S334" s="19"/>
    </row>
    <row r="335" spans="1:19">
      <c r="A335" s="19" t="s">
        <v>334</v>
      </c>
      <c r="B335" s="19" t="s">
        <v>824</v>
      </c>
      <c r="C335" s="19" t="s">
        <v>829</v>
      </c>
      <c r="D335" s="20">
        <v>0</v>
      </c>
      <c r="E335" s="19" t="s">
        <v>835</v>
      </c>
      <c r="F335" s="19" t="s">
        <v>859</v>
      </c>
      <c r="G335" s="19" t="s">
        <v>883</v>
      </c>
      <c r="H335" s="19" t="s">
        <v>914</v>
      </c>
      <c r="I335" s="19" t="s">
        <v>989</v>
      </c>
      <c r="J335" s="19" t="s">
        <v>1004</v>
      </c>
      <c r="K335" s="24">
        <v>46053</v>
      </c>
      <c r="L335" s="19"/>
      <c r="M335" s="19"/>
      <c r="N335" s="21">
        <v>0</v>
      </c>
      <c r="O335" s="23">
        <v>152</v>
      </c>
      <c r="P335" s="19" t="s">
        <v>1014</v>
      </c>
      <c r="Q335" s="20">
        <v>0</v>
      </c>
      <c r="R335" s="19" t="s">
        <v>1022</v>
      </c>
      <c r="S335" s="19"/>
    </row>
    <row r="336" spans="1:19">
      <c r="A336" s="19" t="s">
        <v>335</v>
      </c>
      <c r="B336" s="19" t="s">
        <v>823</v>
      </c>
      <c r="C336" s="19" t="s">
        <v>828</v>
      </c>
      <c r="D336" s="20">
        <v>0</v>
      </c>
      <c r="E336" s="19" t="s">
        <v>834</v>
      </c>
      <c r="F336" s="19" t="s">
        <v>858</v>
      </c>
      <c r="G336" s="19" t="s">
        <v>882</v>
      </c>
      <c r="H336" s="19" t="s">
        <v>912</v>
      </c>
      <c r="I336" s="19" t="s">
        <v>989</v>
      </c>
      <c r="J336" s="19" t="s">
        <v>1004</v>
      </c>
      <c r="K336" s="24">
        <v>46054</v>
      </c>
      <c r="L336" s="19"/>
      <c r="M336" s="19"/>
      <c r="N336" s="21">
        <v>0</v>
      </c>
      <c r="O336" s="23">
        <v>578.38</v>
      </c>
      <c r="P336" s="19" t="s">
        <v>1014</v>
      </c>
      <c r="Q336" s="20">
        <v>0</v>
      </c>
      <c r="R336" s="19" t="s">
        <v>1022</v>
      </c>
      <c r="S336" s="19"/>
    </row>
    <row r="337" spans="1:19">
      <c r="A337" s="19" t="s">
        <v>336</v>
      </c>
      <c r="B337" s="19" t="s">
        <v>826</v>
      </c>
      <c r="C337" s="19" t="s">
        <v>831</v>
      </c>
      <c r="D337" s="20">
        <v>1</v>
      </c>
      <c r="E337" s="19" t="s">
        <v>842</v>
      </c>
      <c r="F337" s="19" t="s">
        <v>866</v>
      </c>
      <c r="G337" s="19" t="s">
        <v>890</v>
      </c>
      <c r="H337" s="19" t="s">
        <v>963</v>
      </c>
      <c r="I337" s="19" t="s">
        <v>1001</v>
      </c>
      <c r="J337" s="19" t="s">
        <v>1006</v>
      </c>
      <c r="K337" s="24">
        <v>46054</v>
      </c>
      <c r="L337" s="26">
        <v>46054.81388888889</v>
      </c>
      <c r="M337" s="26">
        <v>46055.00972222222</v>
      </c>
      <c r="N337" s="21">
        <v>4.7</v>
      </c>
      <c r="O337" s="23">
        <v>4049.97</v>
      </c>
      <c r="P337" s="19" t="s">
        <v>1014</v>
      </c>
      <c r="Q337" s="20">
        <v>0</v>
      </c>
      <c r="R337" s="19" t="s">
        <v>1024</v>
      </c>
      <c r="S337" s="19"/>
    </row>
    <row r="338" spans="1:19">
      <c r="A338" s="19" t="s">
        <v>337</v>
      </c>
      <c r="B338" s="19" t="s">
        <v>824</v>
      </c>
      <c r="C338" s="19" t="s">
        <v>829</v>
      </c>
      <c r="D338" s="20">
        <v>0</v>
      </c>
      <c r="E338" s="19" t="s">
        <v>837</v>
      </c>
      <c r="F338" s="19" t="s">
        <v>861</v>
      </c>
      <c r="G338" s="19" t="s">
        <v>885</v>
      </c>
      <c r="H338" s="19" t="s">
        <v>914</v>
      </c>
      <c r="I338" s="19" t="s">
        <v>989</v>
      </c>
      <c r="J338" s="19" t="s">
        <v>1004</v>
      </c>
      <c r="K338" s="24">
        <v>46055</v>
      </c>
      <c r="L338" s="19"/>
      <c r="M338" s="19"/>
      <c r="N338" s="21">
        <v>0</v>
      </c>
      <c r="O338" s="23">
        <v>260</v>
      </c>
      <c r="P338" s="19" t="s">
        <v>1015</v>
      </c>
      <c r="Q338" s="20">
        <v>0</v>
      </c>
      <c r="R338" s="19" t="s">
        <v>1023</v>
      </c>
      <c r="S338" s="19"/>
    </row>
    <row r="339" spans="1:19">
      <c r="A339" s="19" t="s">
        <v>338</v>
      </c>
      <c r="B339" s="19" t="s">
        <v>825</v>
      </c>
      <c r="C339" s="19" t="s">
        <v>830</v>
      </c>
      <c r="D339" s="20">
        <v>1</v>
      </c>
      <c r="E339" s="19" t="s">
        <v>836</v>
      </c>
      <c r="F339" s="19" t="s">
        <v>860</v>
      </c>
      <c r="G339" s="19" t="s">
        <v>884</v>
      </c>
      <c r="H339" s="19" t="s">
        <v>956</v>
      </c>
      <c r="I339" s="19" t="s">
        <v>1001</v>
      </c>
      <c r="J339" s="19" t="s">
        <v>1005</v>
      </c>
      <c r="K339" s="24">
        <v>46055</v>
      </c>
      <c r="L339" s="26">
        <v>46055.82430555556</v>
      </c>
      <c r="M339" s="26">
        <v>46055.95347222222</v>
      </c>
      <c r="N339" s="21">
        <v>0</v>
      </c>
      <c r="O339" s="23">
        <v>4783.73</v>
      </c>
      <c r="P339" s="19" t="s">
        <v>1015</v>
      </c>
      <c r="Q339" s="20">
        <v>0</v>
      </c>
      <c r="R339" s="19" t="s">
        <v>1022</v>
      </c>
      <c r="S339" s="19" t="s">
        <v>1035</v>
      </c>
    </row>
    <row r="340" spans="1:19">
      <c r="A340" s="19" t="s">
        <v>339</v>
      </c>
      <c r="B340" s="19" t="s">
        <v>825</v>
      </c>
      <c r="C340" s="19" t="s">
        <v>830</v>
      </c>
      <c r="D340" s="20">
        <v>1</v>
      </c>
      <c r="E340" s="19" t="s">
        <v>844</v>
      </c>
      <c r="F340" s="19" t="s">
        <v>868</v>
      </c>
      <c r="G340" s="19" t="s">
        <v>892</v>
      </c>
      <c r="H340" s="19" t="s">
        <v>964</v>
      </c>
      <c r="I340" s="19" t="s">
        <v>996</v>
      </c>
      <c r="J340" s="19" t="s">
        <v>1006</v>
      </c>
      <c r="K340" s="24">
        <v>46056</v>
      </c>
      <c r="L340" s="26">
        <v>46056.10972222222</v>
      </c>
      <c r="M340" s="26">
        <v>46056.24722222222</v>
      </c>
      <c r="N340" s="21">
        <v>3.3</v>
      </c>
      <c r="O340" s="23">
        <v>1123.56</v>
      </c>
      <c r="P340" s="19" t="s">
        <v>1015</v>
      </c>
      <c r="Q340" s="20">
        <v>0</v>
      </c>
      <c r="R340" s="19" t="s">
        <v>1021</v>
      </c>
      <c r="S340" s="19"/>
    </row>
    <row r="341" spans="1:19">
      <c r="A341" s="19" t="s">
        <v>340</v>
      </c>
      <c r="B341" s="19" t="s">
        <v>824</v>
      </c>
      <c r="C341" s="19" t="s">
        <v>829</v>
      </c>
      <c r="D341" s="20">
        <v>0</v>
      </c>
      <c r="E341" s="19" t="s">
        <v>845</v>
      </c>
      <c r="F341" s="19" t="s">
        <v>869</v>
      </c>
      <c r="G341" s="19" t="s">
        <v>893</v>
      </c>
      <c r="H341" s="19" t="s">
        <v>925</v>
      </c>
      <c r="I341" s="19" t="s">
        <v>989</v>
      </c>
      <c r="J341" s="19" t="s">
        <v>1004</v>
      </c>
      <c r="K341" s="24">
        <v>46056</v>
      </c>
      <c r="L341" s="19"/>
      <c r="M341" s="19"/>
      <c r="N341" s="21">
        <v>0</v>
      </c>
      <c r="O341" s="23">
        <v>360</v>
      </c>
      <c r="P341" s="19" t="s">
        <v>1015</v>
      </c>
      <c r="Q341" s="20">
        <v>0</v>
      </c>
      <c r="R341" s="19" t="s">
        <v>1021</v>
      </c>
      <c r="S341" s="19"/>
    </row>
    <row r="342" spans="1:19">
      <c r="A342" s="19" t="s">
        <v>341</v>
      </c>
      <c r="B342" s="19" t="s">
        <v>824</v>
      </c>
      <c r="C342" s="19" t="s">
        <v>829</v>
      </c>
      <c r="D342" s="20">
        <v>0</v>
      </c>
      <c r="E342" s="19" t="s">
        <v>846</v>
      </c>
      <c r="F342" s="19" t="s">
        <v>870</v>
      </c>
      <c r="G342" s="19" t="s">
        <v>894</v>
      </c>
      <c r="H342" s="19" t="s">
        <v>910</v>
      </c>
      <c r="I342" s="19" t="s">
        <v>989</v>
      </c>
      <c r="J342" s="19" t="s">
        <v>1004</v>
      </c>
      <c r="K342" s="24">
        <v>46056</v>
      </c>
      <c r="L342" s="19"/>
      <c r="M342" s="19"/>
      <c r="N342" s="21">
        <v>0</v>
      </c>
      <c r="O342" s="23">
        <v>100</v>
      </c>
      <c r="P342" s="19" t="s">
        <v>1014</v>
      </c>
      <c r="Q342" s="20">
        <v>0</v>
      </c>
      <c r="R342" s="19" t="s">
        <v>1022</v>
      </c>
      <c r="S342" s="19"/>
    </row>
    <row r="343" spans="1:19">
      <c r="A343" s="19" t="s">
        <v>342</v>
      </c>
      <c r="B343" s="19" t="s">
        <v>825</v>
      </c>
      <c r="C343" s="19" t="s">
        <v>830</v>
      </c>
      <c r="D343" s="20">
        <v>1</v>
      </c>
      <c r="E343" s="19" t="s">
        <v>839</v>
      </c>
      <c r="F343" s="19" t="s">
        <v>863</v>
      </c>
      <c r="G343" s="19" t="s">
        <v>887</v>
      </c>
      <c r="H343" s="19" t="s">
        <v>946</v>
      </c>
      <c r="I343" s="19" t="s">
        <v>990</v>
      </c>
      <c r="J343" s="19" t="s">
        <v>1006</v>
      </c>
      <c r="K343" s="24">
        <v>46056</v>
      </c>
      <c r="L343" s="26">
        <v>46056.90416666667</v>
      </c>
      <c r="M343" s="26">
        <v>46057.02916666667</v>
      </c>
      <c r="N343" s="21">
        <v>3</v>
      </c>
      <c r="O343" s="23">
        <v>5562.65</v>
      </c>
      <c r="P343" s="19" t="s">
        <v>1015</v>
      </c>
      <c r="Q343" s="20">
        <v>0</v>
      </c>
      <c r="R343" s="19" t="s">
        <v>1022</v>
      </c>
      <c r="S343" s="19"/>
    </row>
    <row r="344" spans="1:19">
      <c r="A344" s="19" t="s">
        <v>343</v>
      </c>
      <c r="B344" s="19" t="s">
        <v>823</v>
      </c>
      <c r="C344" s="19" t="s">
        <v>828</v>
      </c>
      <c r="D344" s="20">
        <v>0</v>
      </c>
      <c r="E344" s="19" t="s">
        <v>845</v>
      </c>
      <c r="F344" s="19" t="s">
        <v>869</v>
      </c>
      <c r="G344" s="19" t="s">
        <v>893</v>
      </c>
      <c r="H344" s="19" t="s">
        <v>911</v>
      </c>
      <c r="I344" s="19" t="s">
        <v>989</v>
      </c>
      <c r="J344" s="19" t="s">
        <v>1004</v>
      </c>
      <c r="K344" s="24">
        <v>46057</v>
      </c>
      <c r="L344" s="19"/>
      <c r="M344" s="19"/>
      <c r="N344" s="21">
        <v>0</v>
      </c>
      <c r="O344" s="23">
        <v>639.63</v>
      </c>
      <c r="P344" s="19" t="s">
        <v>1014</v>
      </c>
      <c r="Q344" s="20">
        <v>0</v>
      </c>
      <c r="R344" s="19" t="s">
        <v>1023</v>
      </c>
      <c r="S344" s="19"/>
    </row>
    <row r="345" spans="1:19">
      <c r="A345" s="19" t="s">
        <v>344</v>
      </c>
      <c r="B345" s="19" t="s">
        <v>823</v>
      </c>
      <c r="C345" s="19" t="s">
        <v>828</v>
      </c>
      <c r="D345" s="20">
        <v>0</v>
      </c>
      <c r="E345" s="19" t="s">
        <v>854</v>
      </c>
      <c r="F345" s="19" t="s">
        <v>878</v>
      </c>
      <c r="G345" s="19" t="s">
        <v>902</v>
      </c>
      <c r="H345" s="19" t="s">
        <v>917</v>
      </c>
      <c r="I345" s="19" t="s">
        <v>989</v>
      </c>
      <c r="J345" s="19" t="s">
        <v>1004</v>
      </c>
      <c r="K345" s="24">
        <v>46057</v>
      </c>
      <c r="L345" s="19"/>
      <c r="M345" s="19"/>
      <c r="N345" s="21">
        <v>0</v>
      </c>
      <c r="O345" s="23">
        <v>373.63</v>
      </c>
      <c r="P345" s="19" t="s">
        <v>1014</v>
      </c>
      <c r="Q345" s="20">
        <v>0</v>
      </c>
      <c r="R345" s="19" t="s">
        <v>1023</v>
      </c>
      <c r="S345" s="19"/>
    </row>
    <row r="346" spans="1:19">
      <c r="A346" s="19" t="s">
        <v>345</v>
      </c>
      <c r="B346" s="19" t="s">
        <v>824</v>
      </c>
      <c r="C346" s="19" t="s">
        <v>829</v>
      </c>
      <c r="D346" s="20">
        <v>0</v>
      </c>
      <c r="E346" s="19" t="s">
        <v>843</v>
      </c>
      <c r="F346" s="19" t="s">
        <v>867</v>
      </c>
      <c r="G346" s="19" t="s">
        <v>891</v>
      </c>
      <c r="H346" s="19" t="s">
        <v>908</v>
      </c>
      <c r="I346" s="19" t="s">
        <v>989</v>
      </c>
      <c r="J346" s="19" t="s">
        <v>1004</v>
      </c>
      <c r="K346" s="24">
        <v>46057</v>
      </c>
      <c r="L346" s="19"/>
      <c r="M346" s="19"/>
      <c r="N346" s="21">
        <v>0</v>
      </c>
      <c r="O346" s="23">
        <v>88</v>
      </c>
      <c r="P346" s="19" t="s">
        <v>1015</v>
      </c>
      <c r="Q346" s="20">
        <v>0</v>
      </c>
      <c r="R346" s="19" t="s">
        <v>1021</v>
      </c>
      <c r="S346" s="19"/>
    </row>
    <row r="347" spans="1:19">
      <c r="A347" s="19" t="s">
        <v>346</v>
      </c>
      <c r="B347" s="19" t="s">
        <v>824</v>
      </c>
      <c r="C347" s="19" t="s">
        <v>829</v>
      </c>
      <c r="D347" s="20">
        <v>0</v>
      </c>
      <c r="E347" s="19" t="s">
        <v>851</v>
      </c>
      <c r="F347" s="19" t="s">
        <v>875</v>
      </c>
      <c r="G347" s="19" t="s">
        <v>899</v>
      </c>
      <c r="H347" s="19" t="s">
        <v>908</v>
      </c>
      <c r="I347" s="19" t="s">
        <v>989</v>
      </c>
      <c r="J347" s="19" t="s">
        <v>1004</v>
      </c>
      <c r="K347" s="24">
        <v>46057</v>
      </c>
      <c r="L347" s="19"/>
      <c r="M347" s="19"/>
      <c r="N347" s="21">
        <v>0</v>
      </c>
      <c r="O347" s="23">
        <v>180</v>
      </c>
      <c r="P347" s="19" t="s">
        <v>1015</v>
      </c>
      <c r="Q347" s="20">
        <v>0</v>
      </c>
      <c r="R347" s="19" t="s">
        <v>1021</v>
      </c>
      <c r="S347" s="19"/>
    </row>
    <row r="348" spans="1:19">
      <c r="A348" s="19" t="s">
        <v>347</v>
      </c>
      <c r="B348" s="19" t="s">
        <v>825</v>
      </c>
      <c r="C348" s="19" t="s">
        <v>830</v>
      </c>
      <c r="D348" s="20">
        <v>1</v>
      </c>
      <c r="E348" s="19" t="s">
        <v>843</v>
      </c>
      <c r="F348" s="19" t="s">
        <v>867</v>
      </c>
      <c r="G348" s="19" t="s">
        <v>891</v>
      </c>
      <c r="H348" s="19" t="s">
        <v>965</v>
      </c>
      <c r="I348" s="19" t="s">
        <v>991</v>
      </c>
      <c r="J348" s="19" t="s">
        <v>1005</v>
      </c>
      <c r="K348" s="24">
        <v>46057</v>
      </c>
      <c r="L348" s="26">
        <v>46057.59444444445</v>
      </c>
      <c r="M348" s="26">
        <v>46057.65694444445</v>
      </c>
      <c r="N348" s="21">
        <v>1.5</v>
      </c>
      <c r="O348" s="23">
        <v>1505.72</v>
      </c>
      <c r="P348" s="19" t="s">
        <v>1014</v>
      </c>
      <c r="Q348" s="20">
        <v>0</v>
      </c>
      <c r="R348" s="19" t="s">
        <v>1021</v>
      </c>
      <c r="S348" s="19" t="s">
        <v>1033</v>
      </c>
    </row>
    <row r="349" spans="1:19">
      <c r="A349" s="19" t="s">
        <v>348</v>
      </c>
      <c r="B349" s="19" t="s">
        <v>825</v>
      </c>
      <c r="C349" s="19" t="s">
        <v>830</v>
      </c>
      <c r="D349" s="20">
        <v>1</v>
      </c>
      <c r="E349" s="19" t="s">
        <v>852</v>
      </c>
      <c r="F349" s="19" t="s">
        <v>876</v>
      </c>
      <c r="G349" s="19" t="s">
        <v>900</v>
      </c>
      <c r="H349" s="19" t="s">
        <v>940</v>
      </c>
      <c r="I349" s="19" t="s">
        <v>1001</v>
      </c>
      <c r="J349" s="19" t="s">
        <v>1006</v>
      </c>
      <c r="K349" s="24">
        <v>46057</v>
      </c>
      <c r="L349" s="26">
        <v>46057.94166666667</v>
      </c>
      <c r="M349" s="26">
        <v>46058.4625</v>
      </c>
      <c r="N349" s="21">
        <v>12.5</v>
      </c>
      <c r="O349" s="23">
        <v>5709.03</v>
      </c>
      <c r="P349" s="19" t="s">
        <v>1014</v>
      </c>
      <c r="Q349" s="20">
        <v>0</v>
      </c>
      <c r="R349" s="19" t="s">
        <v>1023</v>
      </c>
      <c r="S349" s="19"/>
    </row>
    <row r="350" spans="1:19">
      <c r="A350" s="19" t="s">
        <v>349</v>
      </c>
      <c r="B350" s="19" t="s">
        <v>823</v>
      </c>
      <c r="C350" s="19" t="s">
        <v>828</v>
      </c>
      <c r="D350" s="20">
        <v>0</v>
      </c>
      <c r="E350" s="19" t="s">
        <v>839</v>
      </c>
      <c r="F350" s="19" t="s">
        <v>863</v>
      </c>
      <c r="G350" s="19" t="s">
        <v>887</v>
      </c>
      <c r="H350" s="19" t="s">
        <v>924</v>
      </c>
      <c r="I350" s="19" t="s">
        <v>989</v>
      </c>
      <c r="J350" s="19" t="s">
        <v>1004</v>
      </c>
      <c r="K350" s="24">
        <v>46058</v>
      </c>
      <c r="L350" s="19"/>
      <c r="M350" s="19"/>
      <c r="N350" s="21">
        <v>0</v>
      </c>
      <c r="O350" s="23">
        <v>511.8</v>
      </c>
      <c r="P350" s="19" t="s">
        <v>1015</v>
      </c>
      <c r="Q350" s="20">
        <v>0</v>
      </c>
      <c r="R350" s="19" t="s">
        <v>1021</v>
      </c>
      <c r="S350" s="19"/>
    </row>
    <row r="351" spans="1:19">
      <c r="A351" s="19" t="s">
        <v>350</v>
      </c>
      <c r="B351" s="19" t="s">
        <v>823</v>
      </c>
      <c r="C351" s="19" t="s">
        <v>828</v>
      </c>
      <c r="D351" s="20">
        <v>0</v>
      </c>
      <c r="E351" s="19" t="s">
        <v>846</v>
      </c>
      <c r="F351" s="19" t="s">
        <v>870</v>
      </c>
      <c r="G351" s="19" t="s">
        <v>894</v>
      </c>
      <c r="H351" s="19" t="s">
        <v>924</v>
      </c>
      <c r="I351" s="19" t="s">
        <v>989</v>
      </c>
      <c r="J351" s="19" t="s">
        <v>1004</v>
      </c>
      <c r="K351" s="24">
        <v>46058</v>
      </c>
      <c r="L351" s="19"/>
      <c r="M351" s="19"/>
      <c r="N351" s="21">
        <v>0</v>
      </c>
      <c r="O351" s="23">
        <v>519.33</v>
      </c>
      <c r="P351" s="19" t="s">
        <v>1015</v>
      </c>
      <c r="Q351" s="20">
        <v>0</v>
      </c>
      <c r="R351" s="19" t="s">
        <v>1023</v>
      </c>
      <c r="S351" s="19"/>
    </row>
    <row r="352" spans="1:19">
      <c r="A352" s="19" t="s">
        <v>351</v>
      </c>
      <c r="B352" s="19" t="s">
        <v>823</v>
      </c>
      <c r="C352" s="19" t="s">
        <v>828</v>
      </c>
      <c r="D352" s="20">
        <v>0</v>
      </c>
      <c r="E352" s="19" t="s">
        <v>842</v>
      </c>
      <c r="F352" s="19" t="s">
        <v>866</v>
      </c>
      <c r="G352" s="19" t="s">
        <v>890</v>
      </c>
      <c r="H352" s="19" t="s">
        <v>911</v>
      </c>
      <c r="I352" s="19" t="s">
        <v>989</v>
      </c>
      <c r="J352" s="19" t="s">
        <v>1004</v>
      </c>
      <c r="K352" s="24">
        <v>46059</v>
      </c>
      <c r="L352" s="19"/>
      <c r="M352" s="19"/>
      <c r="N352" s="21">
        <v>0</v>
      </c>
      <c r="O352" s="23">
        <v>971.8</v>
      </c>
      <c r="P352" s="19" t="s">
        <v>1015</v>
      </c>
      <c r="Q352" s="20">
        <v>0</v>
      </c>
      <c r="R352" s="19" t="s">
        <v>1023</v>
      </c>
      <c r="S352" s="19"/>
    </row>
    <row r="353" spans="1:19">
      <c r="A353" s="19" t="s">
        <v>352</v>
      </c>
      <c r="B353" s="19" t="s">
        <v>825</v>
      </c>
      <c r="C353" s="19" t="s">
        <v>830</v>
      </c>
      <c r="D353" s="20">
        <v>1</v>
      </c>
      <c r="E353" s="19" t="s">
        <v>850</v>
      </c>
      <c r="F353" s="19" t="s">
        <v>874</v>
      </c>
      <c r="G353" s="19" t="s">
        <v>898</v>
      </c>
      <c r="H353" s="19" t="s">
        <v>950</v>
      </c>
      <c r="I353" s="19" t="s">
        <v>996</v>
      </c>
      <c r="J353" s="19" t="s">
        <v>1006</v>
      </c>
      <c r="K353" s="24">
        <v>46059</v>
      </c>
      <c r="L353" s="26">
        <v>46059.84513888889</v>
      </c>
      <c r="M353" s="26">
        <v>46060.16597222222</v>
      </c>
      <c r="N353" s="21">
        <v>7.7</v>
      </c>
      <c r="O353" s="23">
        <v>2245.75</v>
      </c>
      <c r="P353" s="19" t="s">
        <v>1014</v>
      </c>
      <c r="Q353" s="20">
        <v>0</v>
      </c>
      <c r="R353" s="19" t="s">
        <v>1022</v>
      </c>
      <c r="S353" s="19"/>
    </row>
    <row r="354" spans="1:19">
      <c r="A354" s="19" t="s">
        <v>353</v>
      </c>
      <c r="B354" s="19" t="s">
        <v>823</v>
      </c>
      <c r="C354" s="19" t="s">
        <v>828</v>
      </c>
      <c r="D354" s="20">
        <v>0</v>
      </c>
      <c r="E354" s="19" t="s">
        <v>844</v>
      </c>
      <c r="F354" s="19" t="s">
        <v>868</v>
      </c>
      <c r="G354" s="19" t="s">
        <v>892</v>
      </c>
      <c r="H354" s="19" t="s">
        <v>911</v>
      </c>
      <c r="I354" s="19" t="s">
        <v>989</v>
      </c>
      <c r="J354" s="19" t="s">
        <v>1004</v>
      </c>
      <c r="K354" s="24">
        <v>46060</v>
      </c>
      <c r="L354" s="19"/>
      <c r="M354" s="19"/>
      <c r="N354" s="21">
        <v>0</v>
      </c>
      <c r="O354" s="23">
        <v>552.05</v>
      </c>
      <c r="P354" s="19" t="s">
        <v>1014</v>
      </c>
      <c r="Q354" s="20">
        <v>0</v>
      </c>
      <c r="R354" s="19" t="s">
        <v>1022</v>
      </c>
      <c r="S354" s="19"/>
    </row>
    <row r="355" spans="1:19">
      <c r="A355" s="19" t="s">
        <v>354</v>
      </c>
      <c r="B355" s="19" t="s">
        <v>823</v>
      </c>
      <c r="C355" s="19" t="s">
        <v>828</v>
      </c>
      <c r="D355" s="20">
        <v>0</v>
      </c>
      <c r="E355" s="19" t="s">
        <v>853</v>
      </c>
      <c r="F355" s="19" t="s">
        <v>877</v>
      </c>
      <c r="G355" s="19" t="s">
        <v>901</v>
      </c>
      <c r="H355" s="19" t="s">
        <v>907</v>
      </c>
      <c r="I355" s="19" t="s">
        <v>989</v>
      </c>
      <c r="J355" s="19" t="s">
        <v>1004</v>
      </c>
      <c r="K355" s="24">
        <v>46060</v>
      </c>
      <c r="L355" s="19"/>
      <c r="M355" s="19"/>
      <c r="N355" s="21">
        <v>0</v>
      </c>
      <c r="O355" s="23">
        <v>585.11</v>
      </c>
      <c r="P355" s="19" t="s">
        <v>1015</v>
      </c>
      <c r="Q355" s="20">
        <v>0</v>
      </c>
      <c r="R355" s="19" t="s">
        <v>1021</v>
      </c>
      <c r="S355" s="19"/>
    </row>
    <row r="356" spans="1:19">
      <c r="A356" s="19" t="s">
        <v>355</v>
      </c>
      <c r="B356" s="19" t="s">
        <v>825</v>
      </c>
      <c r="C356" s="19" t="s">
        <v>830</v>
      </c>
      <c r="D356" s="20">
        <v>1</v>
      </c>
      <c r="E356" s="19" t="s">
        <v>848</v>
      </c>
      <c r="F356" s="19" t="s">
        <v>872</v>
      </c>
      <c r="G356" s="19" t="s">
        <v>896</v>
      </c>
      <c r="H356" s="19" t="s">
        <v>966</v>
      </c>
      <c r="I356" s="19" t="s">
        <v>1002</v>
      </c>
      <c r="J356" s="19" t="s">
        <v>1006</v>
      </c>
      <c r="K356" s="24">
        <v>46061</v>
      </c>
      <c r="L356" s="26">
        <v>46061.16805555556</v>
      </c>
      <c r="M356" s="26">
        <v>46061.90555555555</v>
      </c>
      <c r="N356" s="21">
        <v>17.7</v>
      </c>
      <c r="O356" s="23">
        <v>16663.95</v>
      </c>
      <c r="P356" s="19" t="s">
        <v>1015</v>
      </c>
      <c r="Q356" s="20">
        <v>0</v>
      </c>
      <c r="R356" s="19" t="s">
        <v>1021</v>
      </c>
      <c r="S356" s="19"/>
    </row>
    <row r="357" spans="1:19">
      <c r="A357" s="19" t="s">
        <v>356</v>
      </c>
      <c r="B357" s="19" t="s">
        <v>823</v>
      </c>
      <c r="C357" s="19" t="s">
        <v>828</v>
      </c>
      <c r="D357" s="20">
        <v>0</v>
      </c>
      <c r="E357" s="19" t="s">
        <v>848</v>
      </c>
      <c r="F357" s="19" t="s">
        <v>872</v>
      </c>
      <c r="G357" s="19" t="s">
        <v>896</v>
      </c>
      <c r="H357" s="19" t="s">
        <v>906</v>
      </c>
      <c r="I357" s="19" t="s">
        <v>989</v>
      </c>
      <c r="J357" s="19" t="s">
        <v>1004</v>
      </c>
      <c r="K357" s="24">
        <v>46061</v>
      </c>
      <c r="L357" s="19"/>
      <c r="M357" s="19"/>
      <c r="N357" s="21">
        <v>0</v>
      </c>
      <c r="O357" s="23">
        <v>1773.46</v>
      </c>
      <c r="P357" s="19" t="s">
        <v>1015</v>
      </c>
      <c r="Q357" s="20">
        <v>0</v>
      </c>
      <c r="R357" s="19" t="s">
        <v>1021</v>
      </c>
      <c r="S357" s="19"/>
    </row>
    <row r="358" spans="1:19">
      <c r="A358" s="19" t="s">
        <v>357</v>
      </c>
      <c r="B358" s="19" t="s">
        <v>823</v>
      </c>
      <c r="C358" s="19" t="s">
        <v>828</v>
      </c>
      <c r="D358" s="20">
        <v>0</v>
      </c>
      <c r="E358" s="19" t="s">
        <v>843</v>
      </c>
      <c r="F358" s="19" t="s">
        <v>867</v>
      </c>
      <c r="G358" s="19" t="s">
        <v>891</v>
      </c>
      <c r="H358" s="19" t="s">
        <v>917</v>
      </c>
      <c r="I358" s="19" t="s">
        <v>989</v>
      </c>
      <c r="J358" s="19" t="s">
        <v>1004</v>
      </c>
      <c r="K358" s="24">
        <v>46061</v>
      </c>
      <c r="L358" s="19"/>
      <c r="M358" s="19"/>
      <c r="N358" s="21">
        <v>0</v>
      </c>
      <c r="O358" s="23">
        <v>229.66</v>
      </c>
      <c r="P358" s="19" t="s">
        <v>1015</v>
      </c>
      <c r="Q358" s="20">
        <v>0</v>
      </c>
      <c r="R358" s="19" t="s">
        <v>1022</v>
      </c>
      <c r="S358" s="19"/>
    </row>
    <row r="359" spans="1:19">
      <c r="A359" s="19" t="s">
        <v>358</v>
      </c>
      <c r="B359" s="19" t="s">
        <v>823</v>
      </c>
      <c r="C359" s="19" t="s">
        <v>828</v>
      </c>
      <c r="D359" s="20">
        <v>0</v>
      </c>
      <c r="E359" s="19" t="s">
        <v>840</v>
      </c>
      <c r="F359" s="19" t="s">
        <v>864</v>
      </c>
      <c r="G359" s="19" t="s">
        <v>888</v>
      </c>
      <c r="H359" s="19" t="s">
        <v>924</v>
      </c>
      <c r="I359" s="19" t="s">
        <v>989</v>
      </c>
      <c r="J359" s="19" t="s">
        <v>1004</v>
      </c>
      <c r="K359" s="24">
        <v>46061</v>
      </c>
      <c r="L359" s="19"/>
      <c r="M359" s="19"/>
      <c r="N359" s="21">
        <v>0</v>
      </c>
      <c r="O359" s="23">
        <v>984.37</v>
      </c>
      <c r="P359" s="19" t="s">
        <v>1015</v>
      </c>
      <c r="Q359" s="20">
        <v>0</v>
      </c>
      <c r="R359" s="19" t="s">
        <v>1023</v>
      </c>
      <c r="S359" s="19"/>
    </row>
    <row r="360" spans="1:19">
      <c r="A360" s="19" t="s">
        <v>359</v>
      </c>
      <c r="B360" s="19" t="s">
        <v>824</v>
      </c>
      <c r="C360" s="19" t="s">
        <v>829</v>
      </c>
      <c r="D360" s="20">
        <v>0</v>
      </c>
      <c r="E360" s="19" t="s">
        <v>834</v>
      </c>
      <c r="F360" s="19" t="s">
        <v>858</v>
      </c>
      <c r="G360" s="19" t="s">
        <v>882</v>
      </c>
      <c r="H360" s="19" t="s">
        <v>908</v>
      </c>
      <c r="I360" s="19" t="s">
        <v>989</v>
      </c>
      <c r="J360" s="19" t="s">
        <v>1004</v>
      </c>
      <c r="K360" s="24">
        <v>46061</v>
      </c>
      <c r="L360" s="19"/>
      <c r="M360" s="19"/>
      <c r="N360" s="21">
        <v>0</v>
      </c>
      <c r="O360" s="23">
        <v>120</v>
      </c>
      <c r="P360" s="19" t="s">
        <v>1016</v>
      </c>
      <c r="Q360" s="20">
        <v>1</v>
      </c>
      <c r="R360" s="19" t="s">
        <v>1022</v>
      </c>
      <c r="S360" s="19"/>
    </row>
    <row r="361" spans="1:19">
      <c r="A361" s="19" t="s">
        <v>360</v>
      </c>
      <c r="B361" s="19" t="s">
        <v>823</v>
      </c>
      <c r="C361" s="19" t="s">
        <v>828</v>
      </c>
      <c r="D361" s="20">
        <v>0</v>
      </c>
      <c r="E361" s="19" t="s">
        <v>855</v>
      </c>
      <c r="F361" s="19" t="s">
        <v>879</v>
      </c>
      <c r="G361" s="19" t="s">
        <v>903</v>
      </c>
      <c r="H361" s="19" t="s">
        <v>911</v>
      </c>
      <c r="I361" s="19" t="s">
        <v>989</v>
      </c>
      <c r="J361" s="19" t="s">
        <v>1004</v>
      </c>
      <c r="K361" s="24">
        <v>46062</v>
      </c>
      <c r="L361" s="19"/>
      <c r="M361" s="19"/>
      <c r="N361" s="21">
        <v>0</v>
      </c>
      <c r="O361" s="23">
        <v>242.15</v>
      </c>
      <c r="P361" s="19" t="s">
        <v>1014</v>
      </c>
      <c r="Q361" s="20">
        <v>0</v>
      </c>
      <c r="R361" s="19" t="s">
        <v>1022</v>
      </c>
      <c r="S361" s="19"/>
    </row>
    <row r="362" spans="1:19">
      <c r="A362" s="19" t="s">
        <v>361</v>
      </c>
      <c r="B362" s="19" t="s">
        <v>824</v>
      </c>
      <c r="C362" s="19" t="s">
        <v>829</v>
      </c>
      <c r="D362" s="20">
        <v>0</v>
      </c>
      <c r="E362" s="19" t="s">
        <v>852</v>
      </c>
      <c r="F362" s="19" t="s">
        <v>876</v>
      </c>
      <c r="G362" s="19" t="s">
        <v>900</v>
      </c>
      <c r="H362" s="19" t="s">
        <v>908</v>
      </c>
      <c r="I362" s="19" t="s">
        <v>989</v>
      </c>
      <c r="J362" s="19" t="s">
        <v>1004</v>
      </c>
      <c r="K362" s="24">
        <v>46062</v>
      </c>
      <c r="L362" s="19"/>
      <c r="M362" s="19"/>
      <c r="N362" s="21">
        <v>0</v>
      </c>
      <c r="O362" s="23">
        <v>280</v>
      </c>
      <c r="P362" s="19" t="s">
        <v>1014</v>
      </c>
      <c r="Q362" s="20">
        <v>0</v>
      </c>
      <c r="R362" s="19" t="s">
        <v>1021</v>
      </c>
      <c r="S362" s="19"/>
    </row>
    <row r="363" spans="1:19">
      <c r="A363" s="19" t="s">
        <v>362</v>
      </c>
      <c r="B363" s="19" t="s">
        <v>823</v>
      </c>
      <c r="C363" s="19" t="s">
        <v>828</v>
      </c>
      <c r="D363" s="20">
        <v>0</v>
      </c>
      <c r="E363" s="19" t="s">
        <v>841</v>
      </c>
      <c r="F363" s="19" t="s">
        <v>865</v>
      </c>
      <c r="G363" s="19" t="s">
        <v>889</v>
      </c>
      <c r="H363" s="19" t="s">
        <v>911</v>
      </c>
      <c r="I363" s="19" t="s">
        <v>989</v>
      </c>
      <c r="J363" s="19" t="s">
        <v>1004</v>
      </c>
      <c r="K363" s="24">
        <v>46063</v>
      </c>
      <c r="L363" s="19"/>
      <c r="M363" s="19"/>
      <c r="N363" s="21">
        <v>0</v>
      </c>
      <c r="O363" s="23">
        <v>1636.84</v>
      </c>
      <c r="P363" s="19" t="s">
        <v>1014</v>
      </c>
      <c r="Q363" s="20">
        <v>0</v>
      </c>
      <c r="R363" s="19" t="s">
        <v>1023</v>
      </c>
      <c r="S363" s="19"/>
    </row>
    <row r="364" spans="1:19">
      <c r="A364" s="19" t="s">
        <v>363</v>
      </c>
      <c r="B364" s="19" t="s">
        <v>823</v>
      </c>
      <c r="C364" s="19" t="s">
        <v>828</v>
      </c>
      <c r="D364" s="20">
        <v>0</v>
      </c>
      <c r="E364" s="19" t="s">
        <v>835</v>
      </c>
      <c r="F364" s="19" t="s">
        <v>859</v>
      </c>
      <c r="G364" s="19" t="s">
        <v>883</v>
      </c>
      <c r="H364" s="19" t="s">
        <v>924</v>
      </c>
      <c r="I364" s="19" t="s">
        <v>989</v>
      </c>
      <c r="J364" s="19" t="s">
        <v>1004</v>
      </c>
      <c r="K364" s="24">
        <v>46063</v>
      </c>
      <c r="L364" s="19"/>
      <c r="M364" s="19"/>
      <c r="N364" s="21">
        <v>0</v>
      </c>
      <c r="O364" s="23">
        <v>596.79</v>
      </c>
      <c r="P364" s="19" t="s">
        <v>1015</v>
      </c>
      <c r="Q364" s="20">
        <v>0</v>
      </c>
      <c r="R364" s="19" t="s">
        <v>1022</v>
      </c>
      <c r="S364" s="19"/>
    </row>
    <row r="365" spans="1:19">
      <c r="A365" s="19" t="s">
        <v>364</v>
      </c>
      <c r="B365" s="19" t="s">
        <v>823</v>
      </c>
      <c r="C365" s="19" t="s">
        <v>828</v>
      </c>
      <c r="D365" s="20">
        <v>0</v>
      </c>
      <c r="E365" s="19" t="s">
        <v>851</v>
      </c>
      <c r="F365" s="19" t="s">
        <v>875</v>
      </c>
      <c r="G365" s="19" t="s">
        <v>899</v>
      </c>
      <c r="H365" s="19" t="s">
        <v>911</v>
      </c>
      <c r="I365" s="19" t="s">
        <v>989</v>
      </c>
      <c r="J365" s="19" t="s">
        <v>1004</v>
      </c>
      <c r="K365" s="24">
        <v>46063</v>
      </c>
      <c r="L365" s="19"/>
      <c r="M365" s="19"/>
      <c r="N365" s="21">
        <v>0</v>
      </c>
      <c r="O365" s="23">
        <v>596.47</v>
      </c>
      <c r="P365" s="19" t="s">
        <v>1015</v>
      </c>
      <c r="Q365" s="20">
        <v>0</v>
      </c>
      <c r="R365" s="19" t="s">
        <v>1021</v>
      </c>
      <c r="S365" s="19"/>
    </row>
    <row r="366" spans="1:19">
      <c r="A366" s="19" t="s">
        <v>365</v>
      </c>
      <c r="B366" s="19" t="s">
        <v>825</v>
      </c>
      <c r="C366" s="19" t="s">
        <v>830</v>
      </c>
      <c r="D366" s="20">
        <v>1</v>
      </c>
      <c r="E366" s="19" t="s">
        <v>845</v>
      </c>
      <c r="F366" s="19" t="s">
        <v>869</v>
      </c>
      <c r="G366" s="19" t="s">
        <v>893</v>
      </c>
      <c r="H366" s="19" t="s">
        <v>954</v>
      </c>
      <c r="I366" s="19" t="s">
        <v>993</v>
      </c>
      <c r="J366" s="19" t="s">
        <v>1006</v>
      </c>
      <c r="K366" s="24">
        <v>46063</v>
      </c>
      <c r="L366" s="26">
        <v>46063.33680555555</v>
      </c>
      <c r="M366" s="26">
        <v>46063.67013888889</v>
      </c>
      <c r="N366" s="21">
        <v>0</v>
      </c>
      <c r="O366" s="23">
        <v>8784.370000000001</v>
      </c>
      <c r="P366" s="19" t="s">
        <v>1014</v>
      </c>
      <c r="Q366" s="20">
        <v>0</v>
      </c>
      <c r="R366" s="19" t="s">
        <v>1023</v>
      </c>
      <c r="S366" s="19"/>
    </row>
    <row r="367" spans="1:19">
      <c r="A367" s="19" t="s">
        <v>366</v>
      </c>
      <c r="B367" s="19" t="s">
        <v>826</v>
      </c>
      <c r="C367" s="19" t="s">
        <v>831</v>
      </c>
      <c r="D367" s="20">
        <v>1</v>
      </c>
      <c r="E367" s="19" t="s">
        <v>842</v>
      </c>
      <c r="F367" s="19" t="s">
        <v>866</v>
      </c>
      <c r="G367" s="19" t="s">
        <v>890</v>
      </c>
      <c r="H367" s="19" t="s">
        <v>967</v>
      </c>
      <c r="I367" s="19" t="s">
        <v>1001</v>
      </c>
      <c r="J367" s="19" t="s">
        <v>1006</v>
      </c>
      <c r="K367" s="24">
        <v>46063</v>
      </c>
      <c r="L367" s="26">
        <v>46063.49375</v>
      </c>
      <c r="M367" s="26">
        <v>46063.63541666666</v>
      </c>
      <c r="N367" s="21">
        <v>3.4</v>
      </c>
      <c r="O367" s="23">
        <v>11992.16</v>
      </c>
      <c r="P367" s="19" t="s">
        <v>1016</v>
      </c>
      <c r="Q367" s="20">
        <v>1</v>
      </c>
      <c r="R367" s="19" t="s">
        <v>1024</v>
      </c>
      <c r="S367" s="19"/>
    </row>
    <row r="368" spans="1:19">
      <c r="A368" s="19" t="s">
        <v>367</v>
      </c>
      <c r="B368" s="19" t="s">
        <v>823</v>
      </c>
      <c r="C368" s="19" t="s">
        <v>828</v>
      </c>
      <c r="D368" s="20">
        <v>0</v>
      </c>
      <c r="E368" s="19" t="s">
        <v>850</v>
      </c>
      <c r="F368" s="19" t="s">
        <v>874</v>
      </c>
      <c r="G368" s="19" t="s">
        <v>898</v>
      </c>
      <c r="H368" s="19" t="s">
        <v>924</v>
      </c>
      <c r="I368" s="19" t="s">
        <v>989</v>
      </c>
      <c r="J368" s="19" t="s">
        <v>1004</v>
      </c>
      <c r="K368" s="24">
        <v>46064</v>
      </c>
      <c r="L368" s="19"/>
      <c r="M368" s="19"/>
      <c r="N368" s="21">
        <v>0</v>
      </c>
      <c r="O368" s="23">
        <v>376.1</v>
      </c>
      <c r="P368" s="19" t="s">
        <v>1015</v>
      </c>
      <c r="Q368" s="20">
        <v>0</v>
      </c>
      <c r="R368" s="19" t="s">
        <v>1022</v>
      </c>
      <c r="S368" s="19"/>
    </row>
    <row r="369" spans="1:19">
      <c r="A369" s="19" t="s">
        <v>368</v>
      </c>
      <c r="B369" s="19" t="s">
        <v>824</v>
      </c>
      <c r="C369" s="19" t="s">
        <v>829</v>
      </c>
      <c r="D369" s="20">
        <v>0</v>
      </c>
      <c r="E369" s="19" t="s">
        <v>850</v>
      </c>
      <c r="F369" s="19" t="s">
        <v>874</v>
      </c>
      <c r="G369" s="19" t="s">
        <v>898</v>
      </c>
      <c r="H369" s="19" t="s">
        <v>925</v>
      </c>
      <c r="I369" s="19" t="s">
        <v>989</v>
      </c>
      <c r="J369" s="19" t="s">
        <v>1004</v>
      </c>
      <c r="K369" s="24">
        <v>46064</v>
      </c>
      <c r="L369" s="19"/>
      <c r="M369" s="19"/>
      <c r="N369" s="21">
        <v>0</v>
      </c>
      <c r="O369" s="23">
        <v>100</v>
      </c>
      <c r="P369" s="19" t="s">
        <v>1015</v>
      </c>
      <c r="Q369" s="20">
        <v>0</v>
      </c>
      <c r="R369" s="19" t="s">
        <v>1023</v>
      </c>
      <c r="S369" s="19"/>
    </row>
    <row r="370" spans="1:19">
      <c r="A370" s="19" t="s">
        <v>369</v>
      </c>
      <c r="B370" s="19" t="s">
        <v>826</v>
      </c>
      <c r="C370" s="19" t="s">
        <v>831</v>
      </c>
      <c r="D370" s="20">
        <v>1</v>
      </c>
      <c r="E370" s="19" t="s">
        <v>847</v>
      </c>
      <c r="F370" s="19" t="s">
        <v>871</v>
      </c>
      <c r="G370" s="19" t="s">
        <v>895</v>
      </c>
      <c r="H370" s="19" t="s">
        <v>940</v>
      </c>
      <c r="I370" s="19" t="s">
        <v>1001</v>
      </c>
      <c r="J370" s="19" t="s">
        <v>1006</v>
      </c>
      <c r="K370" s="24">
        <v>46064</v>
      </c>
      <c r="L370" s="26">
        <v>46064.44652777778</v>
      </c>
      <c r="M370" s="26">
        <v>46064.57986111111</v>
      </c>
      <c r="N370" s="21">
        <v>3.2</v>
      </c>
      <c r="O370" s="23">
        <v>3563.22</v>
      </c>
      <c r="P370" s="19" t="s">
        <v>1014</v>
      </c>
      <c r="Q370" s="20">
        <v>0</v>
      </c>
      <c r="R370" s="19" t="s">
        <v>1024</v>
      </c>
      <c r="S370" s="19"/>
    </row>
    <row r="371" spans="1:19">
      <c r="A371" s="19" t="s">
        <v>370</v>
      </c>
      <c r="B371" s="19" t="s">
        <v>823</v>
      </c>
      <c r="C371" s="19" t="s">
        <v>828</v>
      </c>
      <c r="D371" s="20">
        <v>0</v>
      </c>
      <c r="E371" s="19" t="s">
        <v>849</v>
      </c>
      <c r="F371" s="19" t="s">
        <v>873</v>
      </c>
      <c r="G371" s="19" t="s">
        <v>897</v>
      </c>
      <c r="H371" s="19" t="s">
        <v>917</v>
      </c>
      <c r="I371" s="19" t="s">
        <v>989</v>
      </c>
      <c r="J371" s="19" t="s">
        <v>1004</v>
      </c>
      <c r="K371" s="24">
        <v>46065</v>
      </c>
      <c r="L371" s="19"/>
      <c r="M371" s="19"/>
      <c r="N371" s="21">
        <v>0</v>
      </c>
      <c r="O371" s="23">
        <v>1034.96</v>
      </c>
      <c r="P371" s="19" t="s">
        <v>1014</v>
      </c>
      <c r="Q371" s="20">
        <v>0</v>
      </c>
      <c r="R371" s="19" t="s">
        <v>1021</v>
      </c>
      <c r="S371" s="19"/>
    </row>
    <row r="372" spans="1:19">
      <c r="A372" s="19" t="s">
        <v>371</v>
      </c>
      <c r="B372" s="19" t="s">
        <v>825</v>
      </c>
      <c r="C372" s="19" t="s">
        <v>830</v>
      </c>
      <c r="D372" s="20">
        <v>1</v>
      </c>
      <c r="E372" s="19" t="s">
        <v>844</v>
      </c>
      <c r="F372" s="19" t="s">
        <v>868</v>
      </c>
      <c r="G372" s="19" t="s">
        <v>892</v>
      </c>
      <c r="H372" s="19" t="s">
        <v>968</v>
      </c>
      <c r="I372" s="19" t="s">
        <v>1001</v>
      </c>
      <c r="J372" s="19" t="s">
        <v>1006</v>
      </c>
      <c r="K372" s="24">
        <v>46066</v>
      </c>
      <c r="L372" s="26">
        <v>46066.15277777778</v>
      </c>
      <c r="M372" s="26">
        <v>46066.30694444444</v>
      </c>
      <c r="N372" s="21">
        <v>3.7</v>
      </c>
      <c r="O372" s="23">
        <v>6178.54</v>
      </c>
      <c r="P372" s="19" t="s">
        <v>1015</v>
      </c>
      <c r="Q372" s="20">
        <v>0</v>
      </c>
      <c r="R372" s="19" t="s">
        <v>1021</v>
      </c>
      <c r="S372" s="19"/>
    </row>
    <row r="373" spans="1:19">
      <c r="A373" s="19" t="s">
        <v>372</v>
      </c>
      <c r="B373" s="19" t="s">
        <v>825</v>
      </c>
      <c r="C373" s="19" t="s">
        <v>830</v>
      </c>
      <c r="D373" s="20">
        <v>1</v>
      </c>
      <c r="E373" s="19" t="s">
        <v>837</v>
      </c>
      <c r="F373" s="19" t="s">
        <v>861</v>
      </c>
      <c r="G373" s="19" t="s">
        <v>885</v>
      </c>
      <c r="H373" s="19" t="s">
        <v>969</v>
      </c>
      <c r="I373" s="19" t="s">
        <v>1002</v>
      </c>
      <c r="J373" s="19" t="s">
        <v>1006</v>
      </c>
      <c r="K373" s="24">
        <v>46066</v>
      </c>
      <c r="L373" s="26">
        <v>46066.46180555555</v>
      </c>
      <c r="M373" s="26">
        <v>46067.16180555556</v>
      </c>
      <c r="N373" s="21">
        <v>16.8</v>
      </c>
      <c r="O373" s="23">
        <v>7854.92</v>
      </c>
      <c r="P373" s="19" t="s">
        <v>1014</v>
      </c>
      <c r="Q373" s="20">
        <v>0</v>
      </c>
      <c r="R373" s="19" t="s">
        <v>1022</v>
      </c>
      <c r="S373" s="19"/>
    </row>
    <row r="374" spans="1:19">
      <c r="A374" s="19" t="s">
        <v>373</v>
      </c>
      <c r="B374" s="19" t="s">
        <v>824</v>
      </c>
      <c r="C374" s="19" t="s">
        <v>829</v>
      </c>
      <c r="D374" s="20">
        <v>0</v>
      </c>
      <c r="E374" s="19" t="s">
        <v>844</v>
      </c>
      <c r="F374" s="19" t="s">
        <v>868</v>
      </c>
      <c r="G374" s="19" t="s">
        <v>892</v>
      </c>
      <c r="H374" s="19" t="s">
        <v>910</v>
      </c>
      <c r="I374" s="19" t="s">
        <v>989</v>
      </c>
      <c r="J374" s="19" t="s">
        <v>1004</v>
      </c>
      <c r="K374" s="24">
        <v>46067</v>
      </c>
      <c r="L374" s="19"/>
      <c r="M374" s="19"/>
      <c r="N374" s="21">
        <v>0</v>
      </c>
      <c r="O374" s="23">
        <v>140</v>
      </c>
      <c r="P374" s="19" t="s">
        <v>1014</v>
      </c>
      <c r="Q374" s="20">
        <v>0</v>
      </c>
      <c r="R374" s="19" t="s">
        <v>1022</v>
      </c>
      <c r="S374" s="19"/>
    </row>
    <row r="375" spans="1:19">
      <c r="A375" s="19" t="s">
        <v>374</v>
      </c>
      <c r="B375" s="19" t="s">
        <v>824</v>
      </c>
      <c r="C375" s="19" t="s">
        <v>829</v>
      </c>
      <c r="D375" s="20">
        <v>0</v>
      </c>
      <c r="E375" s="19" t="s">
        <v>849</v>
      </c>
      <c r="F375" s="19" t="s">
        <v>873</v>
      </c>
      <c r="G375" s="19" t="s">
        <v>897</v>
      </c>
      <c r="H375" s="19" t="s">
        <v>910</v>
      </c>
      <c r="I375" s="19" t="s">
        <v>989</v>
      </c>
      <c r="J375" s="19" t="s">
        <v>1004</v>
      </c>
      <c r="K375" s="24">
        <v>46067</v>
      </c>
      <c r="L375" s="19"/>
      <c r="M375" s="19"/>
      <c r="N375" s="21">
        <v>0</v>
      </c>
      <c r="O375" s="23">
        <v>320</v>
      </c>
      <c r="P375" s="19" t="s">
        <v>1015</v>
      </c>
      <c r="Q375" s="20">
        <v>0</v>
      </c>
      <c r="R375" s="19" t="s">
        <v>1023</v>
      </c>
      <c r="S375" s="19"/>
    </row>
    <row r="376" spans="1:19">
      <c r="A376" s="19" t="s">
        <v>375</v>
      </c>
      <c r="B376" s="19" t="s">
        <v>823</v>
      </c>
      <c r="C376" s="19" t="s">
        <v>828</v>
      </c>
      <c r="D376" s="20">
        <v>0</v>
      </c>
      <c r="E376" s="19" t="s">
        <v>836</v>
      </c>
      <c r="F376" s="19" t="s">
        <v>860</v>
      </c>
      <c r="G376" s="19" t="s">
        <v>884</v>
      </c>
      <c r="H376" s="19" t="s">
        <v>924</v>
      </c>
      <c r="I376" s="19" t="s">
        <v>989</v>
      </c>
      <c r="J376" s="19" t="s">
        <v>1004</v>
      </c>
      <c r="K376" s="24">
        <v>46069</v>
      </c>
      <c r="L376" s="19"/>
      <c r="M376" s="19"/>
      <c r="N376" s="21">
        <v>0</v>
      </c>
      <c r="O376" s="23">
        <v>262.51</v>
      </c>
      <c r="P376" s="19" t="s">
        <v>1015</v>
      </c>
      <c r="Q376" s="20">
        <v>0</v>
      </c>
      <c r="R376" s="19" t="s">
        <v>1021</v>
      </c>
      <c r="S376" s="19"/>
    </row>
    <row r="377" spans="1:19">
      <c r="A377" s="19" t="s">
        <v>376</v>
      </c>
      <c r="B377" s="19" t="s">
        <v>825</v>
      </c>
      <c r="C377" s="19" t="s">
        <v>830</v>
      </c>
      <c r="D377" s="20">
        <v>1</v>
      </c>
      <c r="E377" s="19" t="s">
        <v>852</v>
      </c>
      <c r="F377" s="19" t="s">
        <v>876</v>
      </c>
      <c r="G377" s="19" t="s">
        <v>900</v>
      </c>
      <c r="H377" s="19" t="s">
        <v>970</v>
      </c>
      <c r="I377" s="19" t="s">
        <v>992</v>
      </c>
      <c r="J377" s="19" t="s">
        <v>1005</v>
      </c>
      <c r="K377" s="24">
        <v>46070</v>
      </c>
      <c r="L377" s="26">
        <v>46070.71527777778</v>
      </c>
      <c r="M377" s="26">
        <v>46070.89861111111</v>
      </c>
      <c r="N377" s="21">
        <v>4.4</v>
      </c>
      <c r="O377" s="23">
        <v>16974.73</v>
      </c>
      <c r="P377" s="19" t="s">
        <v>1014</v>
      </c>
      <c r="Q377" s="20">
        <v>0</v>
      </c>
      <c r="R377" s="19" t="s">
        <v>1021</v>
      </c>
      <c r="S377" s="19" t="s">
        <v>1034</v>
      </c>
    </row>
    <row r="378" spans="1:19">
      <c r="A378" s="19" t="s">
        <v>377</v>
      </c>
      <c r="B378" s="19" t="s">
        <v>825</v>
      </c>
      <c r="C378" s="19" t="s">
        <v>830</v>
      </c>
      <c r="D378" s="20">
        <v>1</v>
      </c>
      <c r="E378" s="19" t="s">
        <v>841</v>
      </c>
      <c r="F378" s="19" t="s">
        <v>865</v>
      </c>
      <c r="G378" s="19" t="s">
        <v>889</v>
      </c>
      <c r="H378" s="19" t="s">
        <v>966</v>
      </c>
      <c r="I378" s="19" t="s">
        <v>1002</v>
      </c>
      <c r="J378" s="19" t="s">
        <v>1006</v>
      </c>
      <c r="K378" s="24">
        <v>46071</v>
      </c>
      <c r="L378" s="26">
        <v>46071.02152777778</v>
      </c>
      <c r="M378" s="26">
        <v>46071.20069444444</v>
      </c>
      <c r="N378" s="21">
        <v>0</v>
      </c>
      <c r="O378" s="23">
        <v>2930.35</v>
      </c>
      <c r="P378" s="19" t="s">
        <v>1016</v>
      </c>
      <c r="Q378" s="20">
        <v>1</v>
      </c>
      <c r="R378" s="19" t="s">
        <v>1022</v>
      </c>
      <c r="S378" s="19"/>
    </row>
    <row r="379" spans="1:19">
      <c r="A379" s="19" t="s">
        <v>378</v>
      </c>
      <c r="B379" s="19" t="s">
        <v>823</v>
      </c>
      <c r="C379" s="19" t="s">
        <v>828</v>
      </c>
      <c r="D379" s="20">
        <v>0</v>
      </c>
      <c r="E379" s="19" t="s">
        <v>838</v>
      </c>
      <c r="F379" s="19" t="s">
        <v>862</v>
      </c>
      <c r="G379" s="19" t="s">
        <v>886</v>
      </c>
      <c r="H379" s="19" t="s">
        <v>907</v>
      </c>
      <c r="I379" s="19" t="s">
        <v>989</v>
      </c>
      <c r="J379" s="19" t="s">
        <v>1004</v>
      </c>
      <c r="K379" s="24">
        <v>46071</v>
      </c>
      <c r="L379" s="19"/>
      <c r="M379" s="19"/>
      <c r="N379" s="21">
        <v>0</v>
      </c>
      <c r="O379" s="23">
        <v>399.72</v>
      </c>
      <c r="P379" s="19" t="s">
        <v>1014</v>
      </c>
      <c r="Q379" s="20">
        <v>0</v>
      </c>
      <c r="R379" s="19" t="s">
        <v>1023</v>
      </c>
      <c r="S379" s="19"/>
    </row>
    <row r="380" spans="1:19">
      <c r="A380" s="19" t="s">
        <v>379</v>
      </c>
      <c r="B380" s="19" t="s">
        <v>823</v>
      </c>
      <c r="C380" s="19" t="s">
        <v>828</v>
      </c>
      <c r="D380" s="20">
        <v>0</v>
      </c>
      <c r="E380" s="19" t="s">
        <v>834</v>
      </c>
      <c r="F380" s="19" t="s">
        <v>858</v>
      </c>
      <c r="G380" s="19" t="s">
        <v>882</v>
      </c>
      <c r="H380" s="19" t="s">
        <v>909</v>
      </c>
      <c r="I380" s="19" t="s">
        <v>989</v>
      </c>
      <c r="J380" s="19" t="s">
        <v>1004</v>
      </c>
      <c r="K380" s="24">
        <v>46071</v>
      </c>
      <c r="L380" s="19"/>
      <c r="M380" s="19"/>
      <c r="N380" s="21">
        <v>0</v>
      </c>
      <c r="O380" s="23">
        <v>788.47</v>
      </c>
      <c r="P380" s="19" t="s">
        <v>1014</v>
      </c>
      <c r="Q380" s="20">
        <v>0</v>
      </c>
      <c r="R380" s="19" t="s">
        <v>1023</v>
      </c>
      <c r="S380" s="19"/>
    </row>
    <row r="381" spans="1:19">
      <c r="A381" s="19" t="s">
        <v>380</v>
      </c>
      <c r="B381" s="19" t="s">
        <v>823</v>
      </c>
      <c r="C381" s="19" t="s">
        <v>828</v>
      </c>
      <c r="D381" s="20">
        <v>0</v>
      </c>
      <c r="E381" s="19" t="s">
        <v>852</v>
      </c>
      <c r="F381" s="19" t="s">
        <v>876</v>
      </c>
      <c r="G381" s="19" t="s">
        <v>900</v>
      </c>
      <c r="H381" s="19" t="s">
        <v>906</v>
      </c>
      <c r="I381" s="19" t="s">
        <v>989</v>
      </c>
      <c r="J381" s="19" t="s">
        <v>1004</v>
      </c>
      <c r="K381" s="24">
        <v>46071</v>
      </c>
      <c r="L381" s="19"/>
      <c r="M381" s="19"/>
      <c r="N381" s="21">
        <v>0</v>
      </c>
      <c r="O381" s="23">
        <v>1085.87</v>
      </c>
      <c r="P381" s="19" t="s">
        <v>1014</v>
      </c>
      <c r="Q381" s="20">
        <v>0</v>
      </c>
      <c r="R381" s="19" t="s">
        <v>1021</v>
      </c>
      <c r="S381" s="19"/>
    </row>
    <row r="382" spans="1:19">
      <c r="A382" s="19" t="s">
        <v>381</v>
      </c>
      <c r="B382" s="19" t="s">
        <v>823</v>
      </c>
      <c r="C382" s="19" t="s">
        <v>828</v>
      </c>
      <c r="D382" s="20">
        <v>0</v>
      </c>
      <c r="E382" s="19" t="s">
        <v>842</v>
      </c>
      <c r="F382" s="19" t="s">
        <v>866</v>
      </c>
      <c r="G382" s="19" t="s">
        <v>890</v>
      </c>
      <c r="H382" s="19" t="s">
        <v>912</v>
      </c>
      <c r="I382" s="19" t="s">
        <v>989</v>
      </c>
      <c r="J382" s="19" t="s">
        <v>1004</v>
      </c>
      <c r="K382" s="24">
        <v>46073</v>
      </c>
      <c r="L382" s="19"/>
      <c r="M382" s="19"/>
      <c r="N382" s="21">
        <v>0</v>
      </c>
      <c r="O382" s="23">
        <v>784.04</v>
      </c>
      <c r="P382" s="19" t="s">
        <v>1014</v>
      </c>
      <c r="Q382" s="20">
        <v>0</v>
      </c>
      <c r="R382" s="19" t="s">
        <v>1023</v>
      </c>
      <c r="S382" s="19"/>
    </row>
    <row r="383" spans="1:19">
      <c r="A383" s="19" t="s">
        <v>382</v>
      </c>
      <c r="B383" s="19" t="s">
        <v>824</v>
      </c>
      <c r="C383" s="19" t="s">
        <v>829</v>
      </c>
      <c r="D383" s="20">
        <v>0</v>
      </c>
      <c r="E383" s="19" t="s">
        <v>848</v>
      </c>
      <c r="F383" s="19" t="s">
        <v>872</v>
      </c>
      <c r="G383" s="19" t="s">
        <v>896</v>
      </c>
      <c r="H383" s="19" t="s">
        <v>914</v>
      </c>
      <c r="I383" s="19" t="s">
        <v>989</v>
      </c>
      <c r="J383" s="19" t="s">
        <v>1004</v>
      </c>
      <c r="K383" s="24">
        <v>46073</v>
      </c>
      <c r="L383" s="19"/>
      <c r="M383" s="19"/>
      <c r="N383" s="21">
        <v>0</v>
      </c>
      <c r="O383" s="23">
        <v>600</v>
      </c>
      <c r="P383" s="19" t="s">
        <v>1015</v>
      </c>
      <c r="Q383" s="20">
        <v>0</v>
      </c>
      <c r="R383" s="19" t="s">
        <v>1022</v>
      </c>
      <c r="S383" s="19"/>
    </row>
    <row r="384" spans="1:19">
      <c r="A384" s="19" t="s">
        <v>383</v>
      </c>
      <c r="B384" s="19" t="s">
        <v>824</v>
      </c>
      <c r="C384" s="19" t="s">
        <v>829</v>
      </c>
      <c r="D384" s="20">
        <v>0</v>
      </c>
      <c r="E384" s="19" t="s">
        <v>853</v>
      </c>
      <c r="F384" s="19" t="s">
        <v>877</v>
      </c>
      <c r="G384" s="19" t="s">
        <v>901</v>
      </c>
      <c r="H384" s="19" t="s">
        <v>908</v>
      </c>
      <c r="I384" s="19" t="s">
        <v>989</v>
      </c>
      <c r="J384" s="19" t="s">
        <v>1004</v>
      </c>
      <c r="K384" s="24">
        <v>46073</v>
      </c>
      <c r="L384" s="19"/>
      <c r="M384" s="19"/>
      <c r="N384" s="21">
        <v>0</v>
      </c>
      <c r="O384" s="23">
        <v>140</v>
      </c>
      <c r="P384" s="19" t="s">
        <v>1015</v>
      </c>
      <c r="Q384" s="20">
        <v>0</v>
      </c>
      <c r="R384" s="19" t="s">
        <v>1022</v>
      </c>
      <c r="S384" s="19"/>
    </row>
    <row r="385" spans="1:19">
      <c r="A385" s="19" t="s">
        <v>384</v>
      </c>
      <c r="B385" s="19" t="s">
        <v>823</v>
      </c>
      <c r="C385" s="19" t="s">
        <v>828</v>
      </c>
      <c r="D385" s="20">
        <v>0</v>
      </c>
      <c r="E385" s="19" t="s">
        <v>856</v>
      </c>
      <c r="F385" s="19" t="s">
        <v>880</v>
      </c>
      <c r="G385" s="19" t="s">
        <v>904</v>
      </c>
      <c r="H385" s="19" t="s">
        <v>924</v>
      </c>
      <c r="I385" s="19" t="s">
        <v>989</v>
      </c>
      <c r="J385" s="19" t="s">
        <v>1004</v>
      </c>
      <c r="K385" s="24">
        <v>46074</v>
      </c>
      <c r="L385" s="19"/>
      <c r="M385" s="19"/>
      <c r="N385" s="21">
        <v>0</v>
      </c>
      <c r="O385" s="23">
        <v>103.25</v>
      </c>
      <c r="P385" s="19" t="s">
        <v>1014</v>
      </c>
      <c r="Q385" s="20">
        <v>0</v>
      </c>
      <c r="R385" s="19" t="s">
        <v>1022</v>
      </c>
      <c r="S385" s="19"/>
    </row>
    <row r="386" spans="1:19">
      <c r="A386" s="19" t="s">
        <v>385</v>
      </c>
      <c r="B386" s="19" t="s">
        <v>826</v>
      </c>
      <c r="C386" s="19" t="s">
        <v>831</v>
      </c>
      <c r="D386" s="20">
        <v>1</v>
      </c>
      <c r="E386" s="19" t="s">
        <v>845</v>
      </c>
      <c r="F386" s="19" t="s">
        <v>869</v>
      </c>
      <c r="G386" s="19" t="s">
        <v>893</v>
      </c>
      <c r="H386" s="19" t="s">
        <v>952</v>
      </c>
      <c r="I386" s="19" t="s">
        <v>991</v>
      </c>
      <c r="J386" s="19" t="s">
        <v>1005</v>
      </c>
      <c r="K386" s="24">
        <v>46075</v>
      </c>
      <c r="L386" s="26">
        <v>46075.17152777778</v>
      </c>
      <c r="M386" s="26">
        <v>46075.54652777778</v>
      </c>
      <c r="N386" s="21">
        <v>9</v>
      </c>
      <c r="O386" s="23">
        <v>10703.43</v>
      </c>
      <c r="P386" s="19" t="s">
        <v>1014</v>
      </c>
      <c r="Q386" s="20">
        <v>0</v>
      </c>
      <c r="R386" s="19" t="s">
        <v>1022</v>
      </c>
      <c r="S386" s="19" t="s">
        <v>1033</v>
      </c>
    </row>
    <row r="387" spans="1:19">
      <c r="A387" s="19" t="s">
        <v>386</v>
      </c>
      <c r="B387" s="19" t="s">
        <v>823</v>
      </c>
      <c r="C387" s="19" t="s">
        <v>828</v>
      </c>
      <c r="D387" s="20">
        <v>0</v>
      </c>
      <c r="E387" s="19" t="s">
        <v>845</v>
      </c>
      <c r="F387" s="19" t="s">
        <v>869</v>
      </c>
      <c r="G387" s="19" t="s">
        <v>893</v>
      </c>
      <c r="H387" s="19" t="s">
        <v>909</v>
      </c>
      <c r="I387" s="19" t="s">
        <v>989</v>
      </c>
      <c r="J387" s="19" t="s">
        <v>1004</v>
      </c>
      <c r="K387" s="24">
        <v>46075</v>
      </c>
      <c r="L387" s="19"/>
      <c r="M387" s="19"/>
      <c r="N387" s="21">
        <v>0</v>
      </c>
      <c r="O387" s="23">
        <v>838.04</v>
      </c>
      <c r="P387" s="19" t="s">
        <v>1015</v>
      </c>
      <c r="Q387" s="20">
        <v>0</v>
      </c>
      <c r="R387" s="19" t="s">
        <v>1022</v>
      </c>
      <c r="S387" s="19"/>
    </row>
    <row r="388" spans="1:19">
      <c r="A388" s="19" t="s">
        <v>387</v>
      </c>
      <c r="B388" s="19" t="s">
        <v>823</v>
      </c>
      <c r="C388" s="19" t="s">
        <v>828</v>
      </c>
      <c r="D388" s="20">
        <v>0</v>
      </c>
      <c r="E388" s="19" t="s">
        <v>839</v>
      </c>
      <c r="F388" s="19" t="s">
        <v>863</v>
      </c>
      <c r="G388" s="19" t="s">
        <v>887</v>
      </c>
      <c r="H388" s="19" t="s">
        <v>917</v>
      </c>
      <c r="I388" s="19" t="s">
        <v>989</v>
      </c>
      <c r="J388" s="19" t="s">
        <v>1004</v>
      </c>
      <c r="K388" s="24">
        <v>46075</v>
      </c>
      <c r="L388" s="19"/>
      <c r="M388" s="19"/>
      <c r="N388" s="21">
        <v>0</v>
      </c>
      <c r="O388" s="23">
        <v>575.63</v>
      </c>
      <c r="P388" s="19" t="s">
        <v>1014</v>
      </c>
      <c r="Q388" s="20">
        <v>0</v>
      </c>
      <c r="R388" s="19" t="s">
        <v>1021</v>
      </c>
      <c r="S388" s="19"/>
    </row>
    <row r="389" spans="1:19">
      <c r="A389" s="19" t="s">
        <v>388</v>
      </c>
      <c r="B389" s="19" t="s">
        <v>824</v>
      </c>
      <c r="C389" s="19" t="s">
        <v>829</v>
      </c>
      <c r="D389" s="20">
        <v>0</v>
      </c>
      <c r="E389" s="19" t="s">
        <v>856</v>
      </c>
      <c r="F389" s="19" t="s">
        <v>880</v>
      </c>
      <c r="G389" s="19" t="s">
        <v>904</v>
      </c>
      <c r="H389" s="19" t="s">
        <v>908</v>
      </c>
      <c r="I389" s="19" t="s">
        <v>989</v>
      </c>
      <c r="J389" s="19" t="s">
        <v>1004</v>
      </c>
      <c r="K389" s="24">
        <v>46075</v>
      </c>
      <c r="L389" s="19"/>
      <c r="M389" s="19"/>
      <c r="N389" s="21">
        <v>0</v>
      </c>
      <c r="O389" s="23">
        <v>48</v>
      </c>
      <c r="P389" s="19" t="s">
        <v>1014</v>
      </c>
      <c r="Q389" s="20">
        <v>0</v>
      </c>
      <c r="R389" s="19" t="s">
        <v>1023</v>
      </c>
      <c r="S389" s="19"/>
    </row>
    <row r="390" spans="1:19">
      <c r="A390" s="19" t="s">
        <v>389</v>
      </c>
      <c r="B390" s="19" t="s">
        <v>825</v>
      </c>
      <c r="C390" s="19" t="s">
        <v>830</v>
      </c>
      <c r="D390" s="20">
        <v>1</v>
      </c>
      <c r="E390" s="19" t="s">
        <v>853</v>
      </c>
      <c r="F390" s="19" t="s">
        <v>877</v>
      </c>
      <c r="G390" s="19" t="s">
        <v>901</v>
      </c>
      <c r="H390" s="19" t="s">
        <v>923</v>
      </c>
      <c r="I390" s="19" t="s">
        <v>990</v>
      </c>
      <c r="J390" s="19" t="s">
        <v>1005</v>
      </c>
      <c r="K390" s="24">
        <v>46076</v>
      </c>
      <c r="L390" s="26">
        <v>46076.14236111111</v>
      </c>
      <c r="M390" s="26">
        <v>46076.18402777778</v>
      </c>
      <c r="N390" s="21">
        <v>0</v>
      </c>
      <c r="O390" s="23">
        <v>5708.55</v>
      </c>
      <c r="P390" s="19" t="s">
        <v>1014</v>
      </c>
      <c r="Q390" s="20">
        <v>0</v>
      </c>
      <c r="R390" s="19" t="s">
        <v>1023</v>
      </c>
      <c r="S390" s="19" t="s">
        <v>1026</v>
      </c>
    </row>
    <row r="391" spans="1:19">
      <c r="A391" s="19" t="s">
        <v>390</v>
      </c>
      <c r="B391" s="19" t="s">
        <v>823</v>
      </c>
      <c r="C391" s="19" t="s">
        <v>828</v>
      </c>
      <c r="D391" s="20">
        <v>0</v>
      </c>
      <c r="E391" s="19" t="s">
        <v>847</v>
      </c>
      <c r="F391" s="19" t="s">
        <v>871</v>
      </c>
      <c r="G391" s="19" t="s">
        <v>895</v>
      </c>
      <c r="H391" s="19" t="s">
        <v>924</v>
      </c>
      <c r="I391" s="19" t="s">
        <v>989</v>
      </c>
      <c r="J391" s="19" t="s">
        <v>1004</v>
      </c>
      <c r="K391" s="24">
        <v>46076</v>
      </c>
      <c r="L391" s="19"/>
      <c r="M391" s="19"/>
      <c r="N391" s="21">
        <v>0</v>
      </c>
      <c r="O391" s="23">
        <v>332.38</v>
      </c>
      <c r="P391" s="19" t="s">
        <v>1015</v>
      </c>
      <c r="Q391" s="20">
        <v>0</v>
      </c>
      <c r="R391" s="19" t="s">
        <v>1021</v>
      </c>
      <c r="S391" s="19"/>
    </row>
    <row r="392" spans="1:19">
      <c r="A392" s="19" t="s">
        <v>391</v>
      </c>
      <c r="B392" s="19" t="s">
        <v>824</v>
      </c>
      <c r="C392" s="19" t="s">
        <v>829</v>
      </c>
      <c r="D392" s="20">
        <v>0</v>
      </c>
      <c r="E392" s="19" t="s">
        <v>842</v>
      </c>
      <c r="F392" s="19" t="s">
        <v>866</v>
      </c>
      <c r="G392" s="19" t="s">
        <v>890</v>
      </c>
      <c r="H392" s="19" t="s">
        <v>925</v>
      </c>
      <c r="I392" s="19" t="s">
        <v>989</v>
      </c>
      <c r="J392" s="19" t="s">
        <v>1004</v>
      </c>
      <c r="K392" s="24">
        <v>46076</v>
      </c>
      <c r="L392" s="19"/>
      <c r="M392" s="19"/>
      <c r="N392" s="21">
        <v>0</v>
      </c>
      <c r="O392" s="23">
        <v>320</v>
      </c>
      <c r="P392" s="19" t="s">
        <v>1014</v>
      </c>
      <c r="Q392" s="20">
        <v>0</v>
      </c>
      <c r="R392" s="19" t="s">
        <v>1022</v>
      </c>
      <c r="S392" s="19"/>
    </row>
    <row r="393" spans="1:19">
      <c r="A393" s="19" t="s">
        <v>392</v>
      </c>
      <c r="B393" s="19" t="s">
        <v>825</v>
      </c>
      <c r="C393" s="19" t="s">
        <v>830</v>
      </c>
      <c r="D393" s="20">
        <v>1</v>
      </c>
      <c r="E393" s="19" t="s">
        <v>848</v>
      </c>
      <c r="F393" s="19" t="s">
        <v>872</v>
      </c>
      <c r="G393" s="19" t="s">
        <v>896</v>
      </c>
      <c r="H393" s="19" t="s">
        <v>971</v>
      </c>
      <c r="I393" s="19" t="s">
        <v>1002</v>
      </c>
      <c r="J393" s="19" t="s">
        <v>1006</v>
      </c>
      <c r="K393" s="24">
        <v>46076</v>
      </c>
      <c r="L393" s="26">
        <v>46076.45972222222</v>
      </c>
      <c r="M393" s="26">
        <v>46077.01388888889</v>
      </c>
      <c r="N393" s="21">
        <v>0</v>
      </c>
      <c r="O393" s="23">
        <v>20166.77</v>
      </c>
      <c r="P393" s="19" t="s">
        <v>1015</v>
      </c>
      <c r="Q393" s="20">
        <v>0</v>
      </c>
      <c r="R393" s="19" t="s">
        <v>1023</v>
      </c>
      <c r="S393" s="19"/>
    </row>
    <row r="394" spans="1:19">
      <c r="A394" s="19" t="s">
        <v>393</v>
      </c>
      <c r="B394" s="19" t="s">
        <v>825</v>
      </c>
      <c r="C394" s="19" t="s">
        <v>830</v>
      </c>
      <c r="D394" s="20">
        <v>1</v>
      </c>
      <c r="E394" s="19" t="s">
        <v>843</v>
      </c>
      <c r="F394" s="19" t="s">
        <v>867</v>
      </c>
      <c r="G394" s="19" t="s">
        <v>891</v>
      </c>
      <c r="H394" s="19" t="s">
        <v>955</v>
      </c>
      <c r="I394" s="19" t="s">
        <v>1000</v>
      </c>
      <c r="J394" s="19" t="s">
        <v>1005</v>
      </c>
      <c r="K394" s="24">
        <v>46077</v>
      </c>
      <c r="L394" s="26">
        <v>46077.05833333333</v>
      </c>
      <c r="M394" s="26">
        <v>46077.25833333333</v>
      </c>
      <c r="N394" s="21">
        <v>4.8</v>
      </c>
      <c r="O394" s="23">
        <v>2121.1</v>
      </c>
      <c r="P394" s="19" t="s">
        <v>1015</v>
      </c>
      <c r="Q394" s="20">
        <v>0</v>
      </c>
      <c r="R394" s="19" t="s">
        <v>1022</v>
      </c>
      <c r="S394" s="19" t="s">
        <v>1032</v>
      </c>
    </row>
    <row r="395" spans="1:19">
      <c r="A395" s="19" t="s">
        <v>394</v>
      </c>
      <c r="B395" s="19" t="s">
        <v>825</v>
      </c>
      <c r="C395" s="19" t="s">
        <v>830</v>
      </c>
      <c r="D395" s="20">
        <v>1</v>
      </c>
      <c r="E395" s="19" t="s">
        <v>844</v>
      </c>
      <c r="F395" s="19" t="s">
        <v>868</v>
      </c>
      <c r="G395" s="19" t="s">
        <v>892</v>
      </c>
      <c r="H395" s="19" t="s">
        <v>972</v>
      </c>
      <c r="I395" s="19" t="s">
        <v>996</v>
      </c>
      <c r="J395" s="19" t="s">
        <v>1006</v>
      </c>
      <c r="K395" s="24">
        <v>46077</v>
      </c>
      <c r="L395" s="26">
        <v>46077.16805555556</v>
      </c>
      <c r="M395" s="26">
        <v>46077.42638888889</v>
      </c>
      <c r="N395" s="21">
        <v>0</v>
      </c>
      <c r="O395" s="23">
        <v>3605.1</v>
      </c>
      <c r="P395" s="19" t="s">
        <v>1014</v>
      </c>
      <c r="Q395" s="20">
        <v>0</v>
      </c>
      <c r="R395" s="19" t="s">
        <v>1023</v>
      </c>
      <c r="S395" s="19"/>
    </row>
    <row r="396" spans="1:19">
      <c r="A396" s="19" t="s">
        <v>395</v>
      </c>
      <c r="B396" s="19" t="s">
        <v>825</v>
      </c>
      <c r="C396" s="19" t="s">
        <v>830</v>
      </c>
      <c r="D396" s="20">
        <v>1</v>
      </c>
      <c r="E396" s="19" t="s">
        <v>842</v>
      </c>
      <c r="F396" s="19" t="s">
        <v>866</v>
      </c>
      <c r="G396" s="19" t="s">
        <v>890</v>
      </c>
      <c r="H396" s="19" t="s">
        <v>963</v>
      </c>
      <c r="I396" s="19" t="s">
        <v>1001</v>
      </c>
      <c r="J396" s="19" t="s">
        <v>1006</v>
      </c>
      <c r="K396" s="24">
        <v>46077</v>
      </c>
      <c r="L396" s="26">
        <v>46077.19305555556</v>
      </c>
      <c r="M396" s="26">
        <v>46077.29722222222</v>
      </c>
      <c r="N396" s="21">
        <v>2.5</v>
      </c>
      <c r="O396" s="23">
        <v>4543.44</v>
      </c>
      <c r="P396" s="19" t="s">
        <v>1014</v>
      </c>
      <c r="Q396" s="20">
        <v>0</v>
      </c>
      <c r="R396" s="19" t="s">
        <v>1021</v>
      </c>
      <c r="S396" s="19"/>
    </row>
    <row r="397" spans="1:19">
      <c r="A397" s="19" t="s">
        <v>396</v>
      </c>
      <c r="B397" s="19" t="s">
        <v>823</v>
      </c>
      <c r="C397" s="19" t="s">
        <v>828</v>
      </c>
      <c r="D397" s="20">
        <v>0</v>
      </c>
      <c r="E397" s="19" t="s">
        <v>837</v>
      </c>
      <c r="F397" s="19" t="s">
        <v>861</v>
      </c>
      <c r="G397" s="19" t="s">
        <v>885</v>
      </c>
      <c r="H397" s="19" t="s">
        <v>907</v>
      </c>
      <c r="I397" s="19" t="s">
        <v>989</v>
      </c>
      <c r="J397" s="19" t="s">
        <v>1004</v>
      </c>
      <c r="K397" s="24">
        <v>46077</v>
      </c>
      <c r="L397" s="19"/>
      <c r="M397" s="19"/>
      <c r="N397" s="21">
        <v>0</v>
      </c>
      <c r="O397" s="23">
        <v>723.2</v>
      </c>
      <c r="P397" s="19" t="s">
        <v>1014</v>
      </c>
      <c r="Q397" s="20">
        <v>0</v>
      </c>
      <c r="R397" s="19" t="s">
        <v>1021</v>
      </c>
      <c r="S397" s="19"/>
    </row>
    <row r="398" spans="1:19">
      <c r="A398" s="19" t="s">
        <v>397</v>
      </c>
      <c r="B398" s="19" t="s">
        <v>823</v>
      </c>
      <c r="C398" s="19" t="s">
        <v>828</v>
      </c>
      <c r="D398" s="20">
        <v>0</v>
      </c>
      <c r="E398" s="19" t="s">
        <v>848</v>
      </c>
      <c r="F398" s="19" t="s">
        <v>872</v>
      </c>
      <c r="G398" s="19" t="s">
        <v>896</v>
      </c>
      <c r="H398" s="19" t="s">
        <v>907</v>
      </c>
      <c r="I398" s="19" t="s">
        <v>989</v>
      </c>
      <c r="J398" s="19" t="s">
        <v>1004</v>
      </c>
      <c r="K398" s="24">
        <v>46078</v>
      </c>
      <c r="L398" s="19"/>
      <c r="M398" s="19"/>
      <c r="N398" s="21">
        <v>0</v>
      </c>
      <c r="O398" s="23">
        <v>1642.81</v>
      </c>
      <c r="P398" s="19" t="s">
        <v>1015</v>
      </c>
      <c r="Q398" s="20">
        <v>0</v>
      </c>
      <c r="R398" s="19" t="s">
        <v>1023</v>
      </c>
      <c r="S398" s="19"/>
    </row>
    <row r="399" spans="1:19">
      <c r="A399" s="19" t="s">
        <v>398</v>
      </c>
      <c r="B399" s="19" t="s">
        <v>825</v>
      </c>
      <c r="C399" s="19" t="s">
        <v>830</v>
      </c>
      <c r="D399" s="20">
        <v>1</v>
      </c>
      <c r="E399" s="19" t="s">
        <v>855</v>
      </c>
      <c r="F399" s="19" t="s">
        <v>879</v>
      </c>
      <c r="G399" s="19" t="s">
        <v>903</v>
      </c>
      <c r="H399" s="19" t="s">
        <v>936</v>
      </c>
      <c r="I399" s="19" t="s">
        <v>994</v>
      </c>
      <c r="J399" s="19" t="s">
        <v>1005</v>
      </c>
      <c r="K399" s="24">
        <v>46078</v>
      </c>
      <c r="L399" s="26">
        <v>46078.60694444444</v>
      </c>
      <c r="M399" s="26">
        <v>46078.75694444445</v>
      </c>
      <c r="N399" s="21">
        <v>3.6</v>
      </c>
      <c r="O399" s="23">
        <v>1383.67</v>
      </c>
      <c r="P399" s="19" t="s">
        <v>1015</v>
      </c>
      <c r="Q399" s="20">
        <v>0</v>
      </c>
      <c r="R399" s="19" t="s">
        <v>1021</v>
      </c>
      <c r="S399" s="19" t="s">
        <v>1031</v>
      </c>
    </row>
    <row r="400" spans="1:19">
      <c r="A400" s="19" t="s">
        <v>399</v>
      </c>
      <c r="B400" s="19" t="s">
        <v>826</v>
      </c>
      <c r="C400" s="19" t="s">
        <v>831</v>
      </c>
      <c r="D400" s="20">
        <v>1</v>
      </c>
      <c r="E400" s="19" t="s">
        <v>855</v>
      </c>
      <c r="F400" s="19" t="s">
        <v>879</v>
      </c>
      <c r="G400" s="19" t="s">
        <v>903</v>
      </c>
      <c r="H400" s="19" t="s">
        <v>954</v>
      </c>
      <c r="I400" s="19" t="s">
        <v>993</v>
      </c>
      <c r="J400" s="19" t="s">
        <v>1005</v>
      </c>
      <c r="K400" s="24">
        <v>46079</v>
      </c>
      <c r="L400" s="26">
        <v>46079.06944444445</v>
      </c>
      <c r="M400" s="26">
        <v>46079.38611111111</v>
      </c>
      <c r="N400" s="21">
        <v>7.6</v>
      </c>
      <c r="O400" s="23">
        <v>2155.76</v>
      </c>
      <c r="P400" s="19" t="s">
        <v>1014</v>
      </c>
      <c r="Q400" s="20">
        <v>0</v>
      </c>
      <c r="R400" s="19" t="s">
        <v>1024</v>
      </c>
      <c r="S400" s="19" t="s">
        <v>1027</v>
      </c>
    </row>
    <row r="401" spans="1:19">
      <c r="A401" s="19" t="s">
        <v>400</v>
      </c>
      <c r="B401" s="19" t="s">
        <v>823</v>
      </c>
      <c r="C401" s="19" t="s">
        <v>828</v>
      </c>
      <c r="D401" s="20">
        <v>0</v>
      </c>
      <c r="E401" s="19" t="s">
        <v>841</v>
      </c>
      <c r="F401" s="19" t="s">
        <v>865</v>
      </c>
      <c r="G401" s="19" t="s">
        <v>889</v>
      </c>
      <c r="H401" s="19" t="s">
        <v>912</v>
      </c>
      <c r="I401" s="19" t="s">
        <v>989</v>
      </c>
      <c r="J401" s="19" t="s">
        <v>1004</v>
      </c>
      <c r="K401" s="24">
        <v>46079</v>
      </c>
      <c r="L401" s="19"/>
      <c r="M401" s="19"/>
      <c r="N401" s="21">
        <v>0</v>
      </c>
      <c r="O401" s="23">
        <v>1262.23</v>
      </c>
      <c r="P401" s="19" t="s">
        <v>1015</v>
      </c>
      <c r="Q401" s="20">
        <v>0</v>
      </c>
      <c r="R401" s="19" t="s">
        <v>1023</v>
      </c>
      <c r="S401" s="19"/>
    </row>
    <row r="402" spans="1:19">
      <c r="A402" s="19" t="s">
        <v>401</v>
      </c>
      <c r="B402" s="19" t="s">
        <v>823</v>
      </c>
      <c r="C402" s="19" t="s">
        <v>828</v>
      </c>
      <c r="D402" s="20">
        <v>0</v>
      </c>
      <c r="E402" s="19" t="s">
        <v>846</v>
      </c>
      <c r="F402" s="19" t="s">
        <v>870</v>
      </c>
      <c r="G402" s="19" t="s">
        <v>894</v>
      </c>
      <c r="H402" s="19" t="s">
        <v>907</v>
      </c>
      <c r="I402" s="19" t="s">
        <v>989</v>
      </c>
      <c r="J402" s="19" t="s">
        <v>1004</v>
      </c>
      <c r="K402" s="24">
        <v>46079</v>
      </c>
      <c r="L402" s="19"/>
      <c r="M402" s="19"/>
      <c r="N402" s="21">
        <v>0</v>
      </c>
      <c r="O402" s="23">
        <v>292.08</v>
      </c>
      <c r="P402" s="19" t="s">
        <v>1015</v>
      </c>
      <c r="Q402" s="20">
        <v>0</v>
      </c>
      <c r="R402" s="19" t="s">
        <v>1021</v>
      </c>
      <c r="S402" s="19"/>
    </row>
    <row r="403" spans="1:19">
      <c r="A403" s="19" t="s">
        <v>402</v>
      </c>
      <c r="B403" s="19" t="s">
        <v>824</v>
      </c>
      <c r="C403" s="19" t="s">
        <v>829</v>
      </c>
      <c r="D403" s="20">
        <v>0</v>
      </c>
      <c r="E403" s="19" t="s">
        <v>841</v>
      </c>
      <c r="F403" s="19" t="s">
        <v>865</v>
      </c>
      <c r="G403" s="19" t="s">
        <v>889</v>
      </c>
      <c r="H403" s="19" t="s">
        <v>914</v>
      </c>
      <c r="I403" s="19" t="s">
        <v>989</v>
      </c>
      <c r="J403" s="19" t="s">
        <v>1004</v>
      </c>
      <c r="K403" s="24">
        <v>46079</v>
      </c>
      <c r="L403" s="19"/>
      <c r="M403" s="19"/>
      <c r="N403" s="21">
        <v>0</v>
      </c>
      <c r="O403" s="23">
        <v>480</v>
      </c>
      <c r="P403" s="19" t="s">
        <v>1015</v>
      </c>
      <c r="Q403" s="20">
        <v>0</v>
      </c>
      <c r="R403" s="19" t="s">
        <v>1021</v>
      </c>
      <c r="S403" s="19"/>
    </row>
    <row r="404" spans="1:19">
      <c r="A404" s="19" t="s">
        <v>403</v>
      </c>
      <c r="B404" s="19" t="s">
        <v>823</v>
      </c>
      <c r="C404" s="19" t="s">
        <v>828</v>
      </c>
      <c r="D404" s="20">
        <v>0</v>
      </c>
      <c r="E404" s="19" t="s">
        <v>851</v>
      </c>
      <c r="F404" s="19" t="s">
        <v>875</v>
      </c>
      <c r="G404" s="19" t="s">
        <v>899</v>
      </c>
      <c r="H404" s="19" t="s">
        <v>912</v>
      </c>
      <c r="I404" s="19" t="s">
        <v>989</v>
      </c>
      <c r="J404" s="19" t="s">
        <v>1004</v>
      </c>
      <c r="K404" s="24">
        <v>46080</v>
      </c>
      <c r="L404" s="19"/>
      <c r="M404" s="19"/>
      <c r="N404" s="21">
        <v>0</v>
      </c>
      <c r="O404" s="23">
        <v>564.77</v>
      </c>
      <c r="P404" s="19" t="s">
        <v>1015</v>
      </c>
      <c r="Q404" s="20">
        <v>0</v>
      </c>
      <c r="R404" s="19" t="s">
        <v>1022</v>
      </c>
      <c r="S404" s="19"/>
    </row>
    <row r="405" spans="1:19">
      <c r="A405" s="19" t="s">
        <v>404</v>
      </c>
      <c r="B405" s="19" t="s">
        <v>825</v>
      </c>
      <c r="C405" s="19" t="s">
        <v>830</v>
      </c>
      <c r="D405" s="20">
        <v>1</v>
      </c>
      <c r="E405" s="19" t="s">
        <v>842</v>
      </c>
      <c r="F405" s="19" t="s">
        <v>866</v>
      </c>
      <c r="G405" s="19" t="s">
        <v>890</v>
      </c>
      <c r="H405" s="19" t="s">
        <v>963</v>
      </c>
      <c r="I405" s="19" t="s">
        <v>1001</v>
      </c>
      <c r="J405" s="19" t="s">
        <v>1005</v>
      </c>
      <c r="K405" s="24">
        <v>46080</v>
      </c>
      <c r="L405" s="26">
        <v>46080.40763888889</v>
      </c>
      <c r="M405" s="26">
        <v>46080.53680555556</v>
      </c>
      <c r="N405" s="21">
        <v>3.1</v>
      </c>
      <c r="O405" s="23">
        <v>14461.86</v>
      </c>
      <c r="P405" s="19" t="s">
        <v>1015</v>
      </c>
      <c r="Q405" s="20">
        <v>0</v>
      </c>
      <c r="R405" s="19" t="s">
        <v>1022</v>
      </c>
      <c r="S405" s="19" t="s">
        <v>1035</v>
      </c>
    </row>
    <row r="406" spans="1:19">
      <c r="A406" s="19" t="s">
        <v>405</v>
      </c>
      <c r="B406" s="19" t="s">
        <v>823</v>
      </c>
      <c r="C406" s="19" t="s">
        <v>828</v>
      </c>
      <c r="D406" s="20">
        <v>0</v>
      </c>
      <c r="E406" s="19" t="s">
        <v>853</v>
      </c>
      <c r="F406" s="19" t="s">
        <v>877</v>
      </c>
      <c r="G406" s="19" t="s">
        <v>901</v>
      </c>
      <c r="H406" s="19" t="s">
        <v>907</v>
      </c>
      <c r="I406" s="19" t="s">
        <v>989</v>
      </c>
      <c r="J406" s="19" t="s">
        <v>1004</v>
      </c>
      <c r="K406" s="24">
        <v>46081</v>
      </c>
      <c r="L406" s="19"/>
      <c r="M406" s="19"/>
      <c r="N406" s="21">
        <v>0</v>
      </c>
      <c r="O406" s="23">
        <v>349.89</v>
      </c>
      <c r="P406" s="19" t="s">
        <v>1015</v>
      </c>
      <c r="Q406" s="20">
        <v>0</v>
      </c>
      <c r="R406" s="19" t="s">
        <v>1022</v>
      </c>
      <c r="S406" s="19"/>
    </row>
    <row r="407" spans="1:19">
      <c r="A407" s="19" t="s">
        <v>406</v>
      </c>
      <c r="B407" s="19" t="s">
        <v>824</v>
      </c>
      <c r="C407" s="19" t="s">
        <v>829</v>
      </c>
      <c r="D407" s="20">
        <v>0</v>
      </c>
      <c r="E407" s="19" t="s">
        <v>836</v>
      </c>
      <c r="F407" s="19" t="s">
        <v>860</v>
      </c>
      <c r="G407" s="19" t="s">
        <v>884</v>
      </c>
      <c r="H407" s="19" t="s">
        <v>925</v>
      </c>
      <c r="I407" s="19" t="s">
        <v>989</v>
      </c>
      <c r="J407" s="19" t="s">
        <v>1004</v>
      </c>
      <c r="K407" s="24">
        <v>46081</v>
      </c>
      <c r="L407" s="19"/>
      <c r="M407" s="19"/>
      <c r="N407" s="21">
        <v>0</v>
      </c>
      <c r="O407" s="23">
        <v>120</v>
      </c>
      <c r="P407" s="19" t="s">
        <v>1014</v>
      </c>
      <c r="Q407" s="20">
        <v>0</v>
      </c>
      <c r="R407" s="19" t="s">
        <v>1022</v>
      </c>
      <c r="S407" s="19"/>
    </row>
    <row r="408" spans="1:19">
      <c r="A408" s="19" t="s">
        <v>407</v>
      </c>
      <c r="B408" s="19" t="s">
        <v>823</v>
      </c>
      <c r="C408" s="19" t="s">
        <v>828</v>
      </c>
      <c r="D408" s="20">
        <v>0</v>
      </c>
      <c r="E408" s="19" t="s">
        <v>844</v>
      </c>
      <c r="F408" s="19" t="s">
        <v>868</v>
      </c>
      <c r="G408" s="19" t="s">
        <v>892</v>
      </c>
      <c r="H408" s="19" t="s">
        <v>924</v>
      </c>
      <c r="I408" s="19" t="s">
        <v>989</v>
      </c>
      <c r="J408" s="19" t="s">
        <v>1004</v>
      </c>
      <c r="K408" s="24">
        <v>46082</v>
      </c>
      <c r="L408" s="19"/>
      <c r="M408" s="19"/>
      <c r="N408" s="21">
        <v>0</v>
      </c>
      <c r="O408" s="23">
        <v>647.78</v>
      </c>
      <c r="P408" s="19" t="s">
        <v>1014</v>
      </c>
      <c r="Q408" s="20">
        <v>0</v>
      </c>
      <c r="R408" s="19" t="s">
        <v>1021</v>
      </c>
      <c r="S408" s="19"/>
    </row>
    <row r="409" spans="1:19">
      <c r="A409" s="19" t="s">
        <v>408</v>
      </c>
      <c r="B409" s="19" t="s">
        <v>824</v>
      </c>
      <c r="C409" s="19" t="s">
        <v>829</v>
      </c>
      <c r="D409" s="20">
        <v>0</v>
      </c>
      <c r="E409" s="19" t="s">
        <v>838</v>
      </c>
      <c r="F409" s="19" t="s">
        <v>862</v>
      </c>
      <c r="G409" s="19" t="s">
        <v>886</v>
      </c>
      <c r="H409" s="19" t="s">
        <v>914</v>
      </c>
      <c r="I409" s="19" t="s">
        <v>989</v>
      </c>
      <c r="J409" s="19" t="s">
        <v>1004</v>
      </c>
      <c r="K409" s="24">
        <v>46082</v>
      </c>
      <c r="L409" s="19"/>
      <c r="M409" s="19"/>
      <c r="N409" s="21">
        <v>0</v>
      </c>
      <c r="O409" s="23">
        <v>80</v>
      </c>
      <c r="P409" s="19" t="s">
        <v>1015</v>
      </c>
      <c r="Q409" s="20">
        <v>0</v>
      </c>
      <c r="R409" s="19" t="s">
        <v>1023</v>
      </c>
      <c r="S409" s="19"/>
    </row>
    <row r="410" spans="1:19">
      <c r="A410" s="19" t="s">
        <v>409</v>
      </c>
      <c r="B410" s="19" t="s">
        <v>826</v>
      </c>
      <c r="C410" s="19" t="s">
        <v>831</v>
      </c>
      <c r="D410" s="20">
        <v>1</v>
      </c>
      <c r="E410" s="19" t="s">
        <v>839</v>
      </c>
      <c r="F410" s="19" t="s">
        <v>863</v>
      </c>
      <c r="G410" s="19" t="s">
        <v>887</v>
      </c>
      <c r="H410" s="19" t="s">
        <v>915</v>
      </c>
      <c r="I410" s="19" t="s">
        <v>991</v>
      </c>
      <c r="J410" s="19" t="s">
        <v>1005</v>
      </c>
      <c r="K410" s="24">
        <v>46082</v>
      </c>
      <c r="L410" s="26">
        <v>46082.375</v>
      </c>
      <c r="M410" s="26">
        <v>46082.575</v>
      </c>
      <c r="N410" s="21">
        <v>4.8</v>
      </c>
      <c r="O410" s="23">
        <v>2231.37</v>
      </c>
      <c r="P410" s="19" t="s">
        <v>1014</v>
      </c>
      <c r="Q410" s="20">
        <v>0</v>
      </c>
      <c r="R410" s="19" t="s">
        <v>1024</v>
      </c>
      <c r="S410" s="19" t="s">
        <v>1033</v>
      </c>
    </row>
    <row r="411" spans="1:19">
      <c r="A411" s="19" t="s">
        <v>410</v>
      </c>
      <c r="B411" s="19" t="s">
        <v>824</v>
      </c>
      <c r="C411" s="19" t="s">
        <v>829</v>
      </c>
      <c r="D411" s="20">
        <v>0</v>
      </c>
      <c r="E411" s="19" t="s">
        <v>839</v>
      </c>
      <c r="F411" s="19" t="s">
        <v>863</v>
      </c>
      <c r="G411" s="19" t="s">
        <v>887</v>
      </c>
      <c r="H411" s="19" t="s">
        <v>925</v>
      </c>
      <c r="I411" s="19" t="s">
        <v>989</v>
      </c>
      <c r="J411" s="19" t="s">
        <v>1004</v>
      </c>
      <c r="K411" s="24">
        <v>46082</v>
      </c>
      <c r="L411" s="19"/>
      <c r="M411" s="19"/>
      <c r="N411" s="21">
        <v>0</v>
      </c>
      <c r="O411" s="23">
        <v>160</v>
      </c>
      <c r="P411" s="19" t="s">
        <v>1014</v>
      </c>
      <c r="Q411" s="20">
        <v>0</v>
      </c>
      <c r="R411" s="19" t="s">
        <v>1021</v>
      </c>
      <c r="S411" s="19"/>
    </row>
    <row r="412" spans="1:19">
      <c r="A412" s="19" t="s">
        <v>411</v>
      </c>
      <c r="B412" s="19" t="s">
        <v>824</v>
      </c>
      <c r="C412" s="19" t="s">
        <v>829</v>
      </c>
      <c r="D412" s="20">
        <v>0</v>
      </c>
      <c r="E412" s="19" t="s">
        <v>840</v>
      </c>
      <c r="F412" s="19" t="s">
        <v>864</v>
      </c>
      <c r="G412" s="19" t="s">
        <v>888</v>
      </c>
      <c r="H412" s="19" t="s">
        <v>910</v>
      </c>
      <c r="I412" s="19" t="s">
        <v>989</v>
      </c>
      <c r="J412" s="19" t="s">
        <v>1004</v>
      </c>
      <c r="K412" s="24">
        <v>46082</v>
      </c>
      <c r="L412" s="19"/>
      <c r="M412" s="19"/>
      <c r="N412" s="21">
        <v>0</v>
      </c>
      <c r="O412" s="23">
        <v>240</v>
      </c>
      <c r="P412" s="19" t="s">
        <v>1014</v>
      </c>
      <c r="Q412" s="20">
        <v>0</v>
      </c>
      <c r="R412" s="19" t="s">
        <v>1022</v>
      </c>
      <c r="S412" s="19"/>
    </row>
    <row r="413" spans="1:19">
      <c r="A413" s="19" t="s">
        <v>412</v>
      </c>
      <c r="B413" s="19" t="s">
        <v>823</v>
      </c>
      <c r="C413" s="19" t="s">
        <v>828</v>
      </c>
      <c r="D413" s="20">
        <v>0</v>
      </c>
      <c r="E413" s="19" t="s">
        <v>843</v>
      </c>
      <c r="F413" s="19" t="s">
        <v>867</v>
      </c>
      <c r="G413" s="19" t="s">
        <v>891</v>
      </c>
      <c r="H413" s="19" t="s">
        <v>909</v>
      </c>
      <c r="I413" s="19" t="s">
        <v>989</v>
      </c>
      <c r="J413" s="19" t="s">
        <v>1004</v>
      </c>
      <c r="K413" s="24">
        <v>46083</v>
      </c>
      <c r="L413" s="19"/>
      <c r="M413" s="19"/>
      <c r="N413" s="21">
        <v>0</v>
      </c>
      <c r="O413" s="23">
        <v>187.08</v>
      </c>
      <c r="P413" s="19" t="s">
        <v>1014</v>
      </c>
      <c r="Q413" s="20">
        <v>0</v>
      </c>
      <c r="R413" s="19" t="s">
        <v>1022</v>
      </c>
      <c r="S413" s="19"/>
    </row>
    <row r="414" spans="1:19">
      <c r="A414" s="19" t="s">
        <v>413</v>
      </c>
      <c r="B414" s="19" t="s">
        <v>824</v>
      </c>
      <c r="C414" s="19" t="s">
        <v>829</v>
      </c>
      <c r="D414" s="20">
        <v>0</v>
      </c>
      <c r="E414" s="19" t="s">
        <v>835</v>
      </c>
      <c r="F414" s="19" t="s">
        <v>859</v>
      </c>
      <c r="G414" s="19" t="s">
        <v>883</v>
      </c>
      <c r="H414" s="19" t="s">
        <v>908</v>
      </c>
      <c r="I414" s="19" t="s">
        <v>989</v>
      </c>
      <c r="J414" s="19" t="s">
        <v>1004</v>
      </c>
      <c r="K414" s="24">
        <v>46083</v>
      </c>
      <c r="L414" s="19"/>
      <c r="M414" s="19"/>
      <c r="N414" s="21">
        <v>0</v>
      </c>
      <c r="O414" s="23">
        <v>152</v>
      </c>
      <c r="P414" s="19" t="s">
        <v>1014</v>
      </c>
      <c r="Q414" s="20">
        <v>0</v>
      </c>
      <c r="R414" s="19" t="s">
        <v>1022</v>
      </c>
      <c r="S414" s="19"/>
    </row>
    <row r="415" spans="1:19">
      <c r="A415" s="19" t="s">
        <v>414</v>
      </c>
      <c r="B415" s="19" t="s">
        <v>823</v>
      </c>
      <c r="C415" s="19" t="s">
        <v>828</v>
      </c>
      <c r="D415" s="20">
        <v>0</v>
      </c>
      <c r="E415" s="19" t="s">
        <v>854</v>
      </c>
      <c r="F415" s="19" t="s">
        <v>878</v>
      </c>
      <c r="G415" s="19" t="s">
        <v>902</v>
      </c>
      <c r="H415" s="19" t="s">
        <v>917</v>
      </c>
      <c r="I415" s="19" t="s">
        <v>989</v>
      </c>
      <c r="J415" s="19" t="s">
        <v>1004</v>
      </c>
      <c r="K415" s="24">
        <v>46085</v>
      </c>
      <c r="L415" s="19"/>
      <c r="M415" s="19"/>
      <c r="N415" s="21">
        <v>0</v>
      </c>
      <c r="O415" s="23">
        <v>545.4</v>
      </c>
      <c r="P415" s="19" t="s">
        <v>1014</v>
      </c>
      <c r="Q415" s="20">
        <v>0</v>
      </c>
      <c r="R415" s="19" t="s">
        <v>1021</v>
      </c>
      <c r="S415" s="19"/>
    </row>
    <row r="416" spans="1:19">
      <c r="A416" s="19" t="s">
        <v>415</v>
      </c>
      <c r="B416" s="19" t="s">
        <v>824</v>
      </c>
      <c r="C416" s="19" t="s">
        <v>829</v>
      </c>
      <c r="D416" s="20">
        <v>0</v>
      </c>
      <c r="E416" s="19" t="s">
        <v>837</v>
      </c>
      <c r="F416" s="19" t="s">
        <v>861</v>
      </c>
      <c r="G416" s="19" t="s">
        <v>885</v>
      </c>
      <c r="H416" s="19" t="s">
        <v>908</v>
      </c>
      <c r="I416" s="19" t="s">
        <v>989</v>
      </c>
      <c r="J416" s="19" t="s">
        <v>1004</v>
      </c>
      <c r="K416" s="24">
        <v>46085</v>
      </c>
      <c r="L416" s="19"/>
      <c r="M416" s="19"/>
      <c r="N416" s="21">
        <v>0</v>
      </c>
      <c r="O416" s="23">
        <v>260</v>
      </c>
      <c r="P416" s="19" t="s">
        <v>1014</v>
      </c>
      <c r="Q416" s="20">
        <v>0</v>
      </c>
      <c r="R416" s="19" t="s">
        <v>1022</v>
      </c>
      <c r="S416" s="19"/>
    </row>
    <row r="417" spans="1:19">
      <c r="A417" s="19" t="s">
        <v>416</v>
      </c>
      <c r="B417" s="19" t="s">
        <v>823</v>
      </c>
      <c r="C417" s="19" t="s">
        <v>828</v>
      </c>
      <c r="D417" s="20">
        <v>0</v>
      </c>
      <c r="E417" s="19" t="s">
        <v>850</v>
      </c>
      <c r="F417" s="19" t="s">
        <v>874</v>
      </c>
      <c r="G417" s="19" t="s">
        <v>898</v>
      </c>
      <c r="H417" s="19" t="s">
        <v>917</v>
      </c>
      <c r="I417" s="19" t="s">
        <v>989</v>
      </c>
      <c r="J417" s="19" t="s">
        <v>1004</v>
      </c>
      <c r="K417" s="24">
        <v>46086</v>
      </c>
      <c r="L417" s="19"/>
      <c r="M417" s="19"/>
      <c r="N417" s="21">
        <v>0</v>
      </c>
      <c r="O417" s="23">
        <v>228.53</v>
      </c>
      <c r="P417" s="19" t="s">
        <v>1014</v>
      </c>
      <c r="Q417" s="20">
        <v>0</v>
      </c>
      <c r="R417" s="19" t="s">
        <v>1022</v>
      </c>
      <c r="S417" s="19"/>
    </row>
    <row r="418" spans="1:19">
      <c r="A418" s="19" t="s">
        <v>417</v>
      </c>
      <c r="B418" s="19" t="s">
        <v>823</v>
      </c>
      <c r="C418" s="19" t="s">
        <v>828</v>
      </c>
      <c r="D418" s="20">
        <v>0</v>
      </c>
      <c r="E418" s="19" t="s">
        <v>840</v>
      </c>
      <c r="F418" s="19" t="s">
        <v>864</v>
      </c>
      <c r="G418" s="19" t="s">
        <v>888</v>
      </c>
      <c r="H418" s="19" t="s">
        <v>911</v>
      </c>
      <c r="I418" s="19" t="s">
        <v>989</v>
      </c>
      <c r="J418" s="19" t="s">
        <v>1004</v>
      </c>
      <c r="K418" s="24">
        <v>46086</v>
      </c>
      <c r="L418" s="19"/>
      <c r="M418" s="19"/>
      <c r="N418" s="21">
        <v>0</v>
      </c>
      <c r="O418" s="23">
        <v>658.28</v>
      </c>
      <c r="P418" s="19" t="s">
        <v>1015</v>
      </c>
      <c r="Q418" s="20">
        <v>0</v>
      </c>
      <c r="R418" s="19" t="s">
        <v>1021</v>
      </c>
      <c r="S418" s="19"/>
    </row>
    <row r="419" spans="1:19">
      <c r="A419" s="19" t="s">
        <v>418</v>
      </c>
      <c r="B419" s="19" t="s">
        <v>823</v>
      </c>
      <c r="C419" s="19" t="s">
        <v>828</v>
      </c>
      <c r="D419" s="20">
        <v>0</v>
      </c>
      <c r="E419" s="19" t="s">
        <v>836</v>
      </c>
      <c r="F419" s="19" t="s">
        <v>860</v>
      </c>
      <c r="G419" s="19" t="s">
        <v>884</v>
      </c>
      <c r="H419" s="19" t="s">
        <v>909</v>
      </c>
      <c r="I419" s="19" t="s">
        <v>989</v>
      </c>
      <c r="J419" s="19" t="s">
        <v>1004</v>
      </c>
      <c r="K419" s="24">
        <v>46086</v>
      </c>
      <c r="L419" s="19"/>
      <c r="M419" s="19"/>
      <c r="N419" s="21">
        <v>0</v>
      </c>
      <c r="O419" s="23">
        <v>367.18</v>
      </c>
      <c r="P419" s="19" t="s">
        <v>1014</v>
      </c>
      <c r="Q419" s="20">
        <v>0</v>
      </c>
      <c r="R419" s="19" t="s">
        <v>1023</v>
      </c>
      <c r="S419" s="19"/>
    </row>
    <row r="420" spans="1:19">
      <c r="A420" s="19" t="s">
        <v>419</v>
      </c>
      <c r="B420" s="19" t="s">
        <v>824</v>
      </c>
      <c r="C420" s="19" t="s">
        <v>829</v>
      </c>
      <c r="D420" s="20">
        <v>0</v>
      </c>
      <c r="E420" s="19" t="s">
        <v>845</v>
      </c>
      <c r="F420" s="19" t="s">
        <v>869</v>
      </c>
      <c r="G420" s="19" t="s">
        <v>893</v>
      </c>
      <c r="H420" s="19" t="s">
        <v>910</v>
      </c>
      <c r="I420" s="19" t="s">
        <v>989</v>
      </c>
      <c r="J420" s="19" t="s">
        <v>1004</v>
      </c>
      <c r="K420" s="24">
        <v>46086</v>
      </c>
      <c r="L420" s="19"/>
      <c r="M420" s="19"/>
      <c r="N420" s="21">
        <v>0</v>
      </c>
      <c r="O420" s="23">
        <v>360</v>
      </c>
      <c r="P420" s="19" t="s">
        <v>1014</v>
      </c>
      <c r="Q420" s="20">
        <v>0</v>
      </c>
      <c r="R420" s="19" t="s">
        <v>1022</v>
      </c>
      <c r="S420" s="19"/>
    </row>
    <row r="421" spans="1:19">
      <c r="A421" s="19" t="s">
        <v>420</v>
      </c>
      <c r="B421" s="19" t="s">
        <v>824</v>
      </c>
      <c r="C421" s="19" t="s">
        <v>829</v>
      </c>
      <c r="D421" s="20">
        <v>0</v>
      </c>
      <c r="E421" s="19" t="s">
        <v>846</v>
      </c>
      <c r="F421" s="19" t="s">
        <v>870</v>
      </c>
      <c r="G421" s="19" t="s">
        <v>894</v>
      </c>
      <c r="H421" s="19" t="s">
        <v>910</v>
      </c>
      <c r="I421" s="19" t="s">
        <v>989</v>
      </c>
      <c r="J421" s="19" t="s">
        <v>1004</v>
      </c>
      <c r="K421" s="24">
        <v>46086</v>
      </c>
      <c r="L421" s="19"/>
      <c r="M421" s="19"/>
      <c r="N421" s="21">
        <v>0</v>
      </c>
      <c r="O421" s="23">
        <v>100</v>
      </c>
      <c r="P421" s="19" t="s">
        <v>1014</v>
      </c>
      <c r="Q421" s="20">
        <v>0</v>
      </c>
      <c r="R421" s="19" t="s">
        <v>1022</v>
      </c>
      <c r="S421" s="19"/>
    </row>
    <row r="422" spans="1:19">
      <c r="A422" s="19" t="s">
        <v>421</v>
      </c>
      <c r="B422" s="19" t="s">
        <v>824</v>
      </c>
      <c r="C422" s="19" t="s">
        <v>829</v>
      </c>
      <c r="D422" s="20">
        <v>0</v>
      </c>
      <c r="E422" s="19" t="s">
        <v>847</v>
      </c>
      <c r="F422" s="19" t="s">
        <v>871</v>
      </c>
      <c r="G422" s="19" t="s">
        <v>895</v>
      </c>
      <c r="H422" s="19" t="s">
        <v>914</v>
      </c>
      <c r="I422" s="19" t="s">
        <v>989</v>
      </c>
      <c r="J422" s="19" t="s">
        <v>1004</v>
      </c>
      <c r="K422" s="24">
        <v>46086</v>
      </c>
      <c r="L422" s="19"/>
      <c r="M422" s="19"/>
      <c r="N422" s="21">
        <v>0</v>
      </c>
      <c r="O422" s="23">
        <v>140</v>
      </c>
      <c r="P422" s="19" t="s">
        <v>1015</v>
      </c>
      <c r="Q422" s="20">
        <v>0</v>
      </c>
      <c r="R422" s="19" t="s">
        <v>1021</v>
      </c>
      <c r="S422" s="19"/>
    </row>
    <row r="423" spans="1:19">
      <c r="A423" s="19" t="s">
        <v>422</v>
      </c>
      <c r="B423" s="19" t="s">
        <v>823</v>
      </c>
      <c r="C423" s="19" t="s">
        <v>828</v>
      </c>
      <c r="D423" s="20">
        <v>0</v>
      </c>
      <c r="E423" s="19" t="s">
        <v>842</v>
      </c>
      <c r="F423" s="19" t="s">
        <v>866</v>
      </c>
      <c r="G423" s="19" t="s">
        <v>890</v>
      </c>
      <c r="H423" s="19" t="s">
        <v>917</v>
      </c>
      <c r="I423" s="19" t="s">
        <v>989</v>
      </c>
      <c r="J423" s="19" t="s">
        <v>1004</v>
      </c>
      <c r="K423" s="24">
        <v>46087</v>
      </c>
      <c r="L423" s="19"/>
      <c r="M423" s="19"/>
      <c r="N423" s="21">
        <v>0</v>
      </c>
      <c r="O423" s="23">
        <v>1504.75</v>
      </c>
      <c r="P423" s="19" t="s">
        <v>1014</v>
      </c>
      <c r="Q423" s="20">
        <v>0</v>
      </c>
      <c r="R423" s="19" t="s">
        <v>1022</v>
      </c>
      <c r="S423" s="19"/>
    </row>
    <row r="424" spans="1:19">
      <c r="A424" s="19" t="s">
        <v>423</v>
      </c>
      <c r="B424" s="19" t="s">
        <v>824</v>
      </c>
      <c r="C424" s="19" t="s">
        <v>829</v>
      </c>
      <c r="D424" s="20">
        <v>0</v>
      </c>
      <c r="E424" s="19" t="s">
        <v>843</v>
      </c>
      <c r="F424" s="19" t="s">
        <v>867</v>
      </c>
      <c r="G424" s="19" t="s">
        <v>891</v>
      </c>
      <c r="H424" s="19" t="s">
        <v>914</v>
      </c>
      <c r="I424" s="19" t="s">
        <v>989</v>
      </c>
      <c r="J424" s="19" t="s">
        <v>1004</v>
      </c>
      <c r="K424" s="24">
        <v>46087</v>
      </c>
      <c r="L424" s="19"/>
      <c r="M424" s="19"/>
      <c r="N424" s="21">
        <v>0</v>
      </c>
      <c r="O424" s="23">
        <v>88</v>
      </c>
      <c r="P424" s="19" t="s">
        <v>1014</v>
      </c>
      <c r="Q424" s="20">
        <v>0</v>
      </c>
      <c r="R424" s="19" t="s">
        <v>1021</v>
      </c>
      <c r="S424" s="19"/>
    </row>
    <row r="425" spans="1:19">
      <c r="A425" s="19" t="s">
        <v>424</v>
      </c>
      <c r="B425" s="19" t="s">
        <v>823</v>
      </c>
      <c r="C425" s="19" t="s">
        <v>828</v>
      </c>
      <c r="D425" s="20">
        <v>0</v>
      </c>
      <c r="E425" s="19" t="s">
        <v>834</v>
      </c>
      <c r="F425" s="19" t="s">
        <v>858</v>
      </c>
      <c r="G425" s="19" t="s">
        <v>882</v>
      </c>
      <c r="H425" s="19" t="s">
        <v>924</v>
      </c>
      <c r="I425" s="19" t="s">
        <v>989</v>
      </c>
      <c r="J425" s="19" t="s">
        <v>1004</v>
      </c>
      <c r="K425" s="24">
        <v>46088</v>
      </c>
      <c r="L425" s="19"/>
      <c r="M425" s="19"/>
      <c r="N425" s="21">
        <v>0</v>
      </c>
      <c r="O425" s="23">
        <v>521.3200000000001</v>
      </c>
      <c r="P425" s="19" t="s">
        <v>1014</v>
      </c>
      <c r="Q425" s="20">
        <v>0</v>
      </c>
      <c r="R425" s="19" t="s">
        <v>1023</v>
      </c>
      <c r="S425" s="19"/>
    </row>
    <row r="426" spans="1:19">
      <c r="A426" s="19" t="s">
        <v>425</v>
      </c>
      <c r="B426" s="19" t="s">
        <v>825</v>
      </c>
      <c r="C426" s="19" t="s">
        <v>830</v>
      </c>
      <c r="D426" s="20">
        <v>1</v>
      </c>
      <c r="E426" s="19" t="s">
        <v>848</v>
      </c>
      <c r="F426" s="19" t="s">
        <v>872</v>
      </c>
      <c r="G426" s="19" t="s">
        <v>896</v>
      </c>
      <c r="H426" s="19" t="s">
        <v>928</v>
      </c>
      <c r="I426" s="19" t="s">
        <v>991</v>
      </c>
      <c r="J426" s="19" t="s">
        <v>1005</v>
      </c>
      <c r="K426" s="24">
        <v>46088</v>
      </c>
      <c r="L426" s="26">
        <v>46088.88402777778</v>
      </c>
      <c r="M426" s="26">
        <v>46089.27986111111</v>
      </c>
      <c r="N426" s="21">
        <v>9.5</v>
      </c>
      <c r="O426" s="23">
        <v>24236.21</v>
      </c>
      <c r="P426" s="19" t="s">
        <v>1014</v>
      </c>
      <c r="Q426" s="20">
        <v>0</v>
      </c>
      <c r="R426" s="19" t="s">
        <v>1022</v>
      </c>
      <c r="S426" s="19" t="s">
        <v>1033</v>
      </c>
    </row>
    <row r="427" spans="1:19">
      <c r="A427" s="19" t="s">
        <v>426</v>
      </c>
      <c r="B427" s="19" t="s">
        <v>825</v>
      </c>
      <c r="C427" s="19" t="s">
        <v>830</v>
      </c>
      <c r="D427" s="20">
        <v>1</v>
      </c>
      <c r="E427" s="19" t="s">
        <v>854</v>
      </c>
      <c r="F427" s="19" t="s">
        <v>878</v>
      </c>
      <c r="G427" s="19" t="s">
        <v>902</v>
      </c>
      <c r="H427" s="19" t="s">
        <v>927</v>
      </c>
      <c r="I427" s="19" t="s">
        <v>998</v>
      </c>
      <c r="J427" s="19" t="s">
        <v>1006</v>
      </c>
      <c r="K427" s="24">
        <v>46089</v>
      </c>
      <c r="L427" s="26">
        <v>46089.16458333333</v>
      </c>
      <c r="M427" s="26">
        <v>46089.35625</v>
      </c>
      <c r="N427" s="21">
        <v>0</v>
      </c>
      <c r="O427" s="23">
        <v>4506.65</v>
      </c>
      <c r="P427" s="19" t="s">
        <v>1015</v>
      </c>
      <c r="Q427" s="20">
        <v>0</v>
      </c>
      <c r="R427" s="19" t="s">
        <v>1021</v>
      </c>
      <c r="S427" s="19"/>
    </row>
    <row r="428" spans="1:19">
      <c r="A428" s="19" t="s">
        <v>427</v>
      </c>
      <c r="B428" s="19" t="s">
        <v>823</v>
      </c>
      <c r="C428" s="19" t="s">
        <v>828</v>
      </c>
      <c r="D428" s="20">
        <v>0</v>
      </c>
      <c r="E428" s="19" t="s">
        <v>835</v>
      </c>
      <c r="F428" s="19" t="s">
        <v>859</v>
      </c>
      <c r="G428" s="19" t="s">
        <v>883</v>
      </c>
      <c r="H428" s="19" t="s">
        <v>909</v>
      </c>
      <c r="I428" s="19" t="s">
        <v>989</v>
      </c>
      <c r="J428" s="19" t="s">
        <v>1004</v>
      </c>
      <c r="K428" s="24">
        <v>46090</v>
      </c>
      <c r="L428" s="19"/>
      <c r="M428" s="19"/>
      <c r="N428" s="21">
        <v>0</v>
      </c>
      <c r="O428" s="23">
        <v>386.69</v>
      </c>
      <c r="P428" s="19" t="s">
        <v>1016</v>
      </c>
      <c r="Q428" s="20">
        <v>1</v>
      </c>
      <c r="R428" s="19" t="s">
        <v>1021</v>
      </c>
      <c r="S428" s="19"/>
    </row>
    <row r="429" spans="1:19">
      <c r="A429" s="19" t="s">
        <v>428</v>
      </c>
      <c r="B429" s="19" t="s">
        <v>823</v>
      </c>
      <c r="C429" s="19" t="s">
        <v>828</v>
      </c>
      <c r="D429" s="20">
        <v>0</v>
      </c>
      <c r="E429" s="19" t="s">
        <v>852</v>
      </c>
      <c r="F429" s="19" t="s">
        <v>876</v>
      </c>
      <c r="G429" s="19" t="s">
        <v>900</v>
      </c>
      <c r="H429" s="19" t="s">
        <v>912</v>
      </c>
      <c r="I429" s="19" t="s">
        <v>989</v>
      </c>
      <c r="J429" s="19" t="s">
        <v>1004</v>
      </c>
      <c r="K429" s="24">
        <v>46090</v>
      </c>
      <c r="L429" s="19"/>
      <c r="M429" s="19"/>
      <c r="N429" s="21">
        <v>0</v>
      </c>
      <c r="O429" s="23">
        <v>594.47</v>
      </c>
      <c r="P429" s="19" t="s">
        <v>1014</v>
      </c>
      <c r="Q429" s="20">
        <v>0</v>
      </c>
      <c r="R429" s="19" t="s">
        <v>1023</v>
      </c>
      <c r="S429" s="19"/>
    </row>
    <row r="430" spans="1:19">
      <c r="A430" s="19" t="s">
        <v>429</v>
      </c>
      <c r="B430" s="19" t="s">
        <v>823</v>
      </c>
      <c r="C430" s="19" t="s">
        <v>828</v>
      </c>
      <c r="D430" s="20">
        <v>0</v>
      </c>
      <c r="E430" s="19" t="s">
        <v>838</v>
      </c>
      <c r="F430" s="19" t="s">
        <v>862</v>
      </c>
      <c r="G430" s="19" t="s">
        <v>886</v>
      </c>
      <c r="H430" s="19" t="s">
        <v>907</v>
      </c>
      <c r="I430" s="19" t="s">
        <v>989</v>
      </c>
      <c r="J430" s="19" t="s">
        <v>1004</v>
      </c>
      <c r="K430" s="24">
        <v>46091</v>
      </c>
      <c r="L430" s="19"/>
      <c r="M430" s="19"/>
      <c r="N430" s="21">
        <v>0</v>
      </c>
      <c r="O430" s="23">
        <v>179.46</v>
      </c>
      <c r="P430" s="19" t="s">
        <v>1014</v>
      </c>
      <c r="Q430" s="20">
        <v>0</v>
      </c>
      <c r="R430" s="19" t="s">
        <v>1023</v>
      </c>
      <c r="S430" s="19"/>
    </row>
    <row r="431" spans="1:19">
      <c r="A431" s="19" t="s">
        <v>430</v>
      </c>
      <c r="B431" s="19" t="s">
        <v>823</v>
      </c>
      <c r="C431" s="19" t="s">
        <v>828</v>
      </c>
      <c r="D431" s="20">
        <v>0</v>
      </c>
      <c r="E431" s="19" t="s">
        <v>855</v>
      </c>
      <c r="F431" s="19" t="s">
        <v>879</v>
      </c>
      <c r="G431" s="19" t="s">
        <v>903</v>
      </c>
      <c r="H431" s="19" t="s">
        <v>909</v>
      </c>
      <c r="I431" s="19" t="s">
        <v>989</v>
      </c>
      <c r="J431" s="19" t="s">
        <v>1004</v>
      </c>
      <c r="K431" s="24">
        <v>46091</v>
      </c>
      <c r="L431" s="19"/>
      <c r="M431" s="19"/>
      <c r="N431" s="21">
        <v>0</v>
      </c>
      <c r="O431" s="23">
        <v>319.2</v>
      </c>
      <c r="P431" s="19" t="s">
        <v>1016</v>
      </c>
      <c r="Q431" s="20">
        <v>1</v>
      </c>
      <c r="R431" s="19" t="s">
        <v>1021</v>
      </c>
      <c r="S431" s="19"/>
    </row>
    <row r="432" spans="1:19">
      <c r="A432" s="19" t="s">
        <v>431</v>
      </c>
      <c r="B432" s="19" t="s">
        <v>823</v>
      </c>
      <c r="C432" s="19" t="s">
        <v>828</v>
      </c>
      <c r="D432" s="20">
        <v>0</v>
      </c>
      <c r="E432" s="19" t="s">
        <v>849</v>
      </c>
      <c r="F432" s="19" t="s">
        <v>873</v>
      </c>
      <c r="G432" s="19" t="s">
        <v>897</v>
      </c>
      <c r="H432" s="19" t="s">
        <v>911</v>
      </c>
      <c r="I432" s="19" t="s">
        <v>989</v>
      </c>
      <c r="J432" s="19" t="s">
        <v>1004</v>
      </c>
      <c r="K432" s="24">
        <v>46091</v>
      </c>
      <c r="L432" s="19"/>
      <c r="M432" s="19"/>
      <c r="N432" s="21">
        <v>0</v>
      </c>
      <c r="O432" s="23">
        <v>807.86</v>
      </c>
      <c r="P432" s="19" t="s">
        <v>1015</v>
      </c>
      <c r="Q432" s="20">
        <v>0</v>
      </c>
      <c r="R432" s="19" t="s">
        <v>1023</v>
      </c>
      <c r="S432" s="19"/>
    </row>
    <row r="433" spans="1:19">
      <c r="A433" s="19" t="s">
        <v>432</v>
      </c>
      <c r="B433" s="19" t="s">
        <v>824</v>
      </c>
      <c r="C433" s="19" t="s">
        <v>829</v>
      </c>
      <c r="D433" s="20">
        <v>0</v>
      </c>
      <c r="E433" s="19" t="s">
        <v>834</v>
      </c>
      <c r="F433" s="19" t="s">
        <v>858</v>
      </c>
      <c r="G433" s="19" t="s">
        <v>882</v>
      </c>
      <c r="H433" s="19" t="s">
        <v>914</v>
      </c>
      <c r="I433" s="19" t="s">
        <v>989</v>
      </c>
      <c r="J433" s="19" t="s">
        <v>1004</v>
      </c>
      <c r="K433" s="24">
        <v>46091</v>
      </c>
      <c r="L433" s="19"/>
      <c r="M433" s="19"/>
      <c r="N433" s="21">
        <v>0</v>
      </c>
      <c r="O433" s="23">
        <v>120</v>
      </c>
      <c r="P433" s="19" t="s">
        <v>1015</v>
      </c>
      <c r="Q433" s="20">
        <v>0</v>
      </c>
      <c r="R433" s="19" t="s">
        <v>1022</v>
      </c>
      <c r="S433" s="19"/>
    </row>
    <row r="434" spans="1:19">
      <c r="A434" s="19" t="s">
        <v>433</v>
      </c>
      <c r="B434" s="19" t="s">
        <v>825</v>
      </c>
      <c r="C434" s="19" t="s">
        <v>830</v>
      </c>
      <c r="D434" s="20">
        <v>1</v>
      </c>
      <c r="E434" s="19" t="s">
        <v>839</v>
      </c>
      <c r="F434" s="19" t="s">
        <v>863</v>
      </c>
      <c r="G434" s="19" t="s">
        <v>887</v>
      </c>
      <c r="H434" s="19" t="s">
        <v>946</v>
      </c>
      <c r="I434" s="19" t="s">
        <v>990</v>
      </c>
      <c r="J434" s="19" t="s">
        <v>1005</v>
      </c>
      <c r="K434" s="24">
        <v>46091</v>
      </c>
      <c r="L434" s="26">
        <v>46091.46180555555</v>
      </c>
      <c r="M434" s="26">
        <v>46091.71180555555</v>
      </c>
      <c r="N434" s="21">
        <v>6</v>
      </c>
      <c r="O434" s="23">
        <v>2971.18</v>
      </c>
      <c r="P434" s="19" t="s">
        <v>1014</v>
      </c>
      <c r="Q434" s="20">
        <v>0</v>
      </c>
      <c r="R434" s="19" t="s">
        <v>1022</v>
      </c>
      <c r="S434" s="19" t="s">
        <v>1026</v>
      </c>
    </row>
    <row r="435" spans="1:19">
      <c r="A435" s="19" t="s">
        <v>434</v>
      </c>
      <c r="B435" s="19" t="s">
        <v>823</v>
      </c>
      <c r="C435" s="19" t="s">
        <v>828</v>
      </c>
      <c r="D435" s="20">
        <v>0</v>
      </c>
      <c r="E435" s="19" t="s">
        <v>839</v>
      </c>
      <c r="F435" s="19" t="s">
        <v>863</v>
      </c>
      <c r="G435" s="19" t="s">
        <v>887</v>
      </c>
      <c r="H435" s="19" t="s">
        <v>917</v>
      </c>
      <c r="I435" s="19" t="s">
        <v>989</v>
      </c>
      <c r="J435" s="19" t="s">
        <v>1004</v>
      </c>
      <c r="K435" s="24">
        <v>46092</v>
      </c>
      <c r="L435" s="19"/>
      <c r="M435" s="19"/>
      <c r="N435" s="21">
        <v>0</v>
      </c>
      <c r="O435" s="23">
        <v>462.05</v>
      </c>
      <c r="P435" s="19" t="s">
        <v>1015</v>
      </c>
      <c r="Q435" s="20">
        <v>0</v>
      </c>
      <c r="R435" s="19" t="s">
        <v>1021</v>
      </c>
      <c r="S435" s="19"/>
    </row>
    <row r="436" spans="1:19">
      <c r="A436" s="19" t="s">
        <v>435</v>
      </c>
      <c r="B436" s="19" t="s">
        <v>824</v>
      </c>
      <c r="C436" s="19" t="s">
        <v>829</v>
      </c>
      <c r="D436" s="20">
        <v>0</v>
      </c>
      <c r="E436" s="19" t="s">
        <v>852</v>
      </c>
      <c r="F436" s="19" t="s">
        <v>876</v>
      </c>
      <c r="G436" s="19" t="s">
        <v>900</v>
      </c>
      <c r="H436" s="19" t="s">
        <v>925</v>
      </c>
      <c r="I436" s="19" t="s">
        <v>989</v>
      </c>
      <c r="J436" s="19" t="s">
        <v>1004</v>
      </c>
      <c r="K436" s="24">
        <v>46092</v>
      </c>
      <c r="L436" s="19"/>
      <c r="M436" s="19"/>
      <c r="N436" s="21">
        <v>0</v>
      </c>
      <c r="O436" s="23">
        <v>280</v>
      </c>
      <c r="P436" s="19" t="s">
        <v>1016</v>
      </c>
      <c r="Q436" s="20">
        <v>1</v>
      </c>
      <c r="R436" s="19" t="s">
        <v>1023</v>
      </c>
      <c r="S436" s="19"/>
    </row>
    <row r="437" spans="1:19">
      <c r="A437" s="19" t="s">
        <v>436</v>
      </c>
      <c r="B437" s="19" t="s">
        <v>825</v>
      </c>
      <c r="C437" s="19" t="s">
        <v>830</v>
      </c>
      <c r="D437" s="20">
        <v>1</v>
      </c>
      <c r="E437" s="19" t="s">
        <v>843</v>
      </c>
      <c r="F437" s="19" t="s">
        <v>867</v>
      </c>
      <c r="G437" s="19" t="s">
        <v>891</v>
      </c>
      <c r="H437" s="19" t="s">
        <v>937</v>
      </c>
      <c r="I437" s="19" t="s">
        <v>1000</v>
      </c>
      <c r="J437" s="19" t="s">
        <v>1006</v>
      </c>
      <c r="K437" s="24">
        <v>46092</v>
      </c>
      <c r="L437" s="26">
        <v>46092.95763888889</v>
      </c>
      <c r="M437" s="26">
        <v>46093.24513888889</v>
      </c>
      <c r="N437" s="21">
        <v>0</v>
      </c>
      <c r="O437" s="23">
        <v>4031.25</v>
      </c>
      <c r="P437" s="19" t="s">
        <v>1014</v>
      </c>
      <c r="Q437" s="20">
        <v>0</v>
      </c>
      <c r="R437" s="19" t="s">
        <v>1022</v>
      </c>
      <c r="S437" s="19"/>
    </row>
    <row r="438" spans="1:19">
      <c r="A438" s="19" t="s">
        <v>437</v>
      </c>
      <c r="B438" s="19" t="s">
        <v>823</v>
      </c>
      <c r="C438" s="19" t="s">
        <v>828</v>
      </c>
      <c r="D438" s="20">
        <v>0</v>
      </c>
      <c r="E438" s="19" t="s">
        <v>845</v>
      </c>
      <c r="F438" s="19" t="s">
        <v>869</v>
      </c>
      <c r="G438" s="19" t="s">
        <v>893</v>
      </c>
      <c r="H438" s="19" t="s">
        <v>911</v>
      </c>
      <c r="I438" s="19" t="s">
        <v>989</v>
      </c>
      <c r="J438" s="19" t="s">
        <v>1004</v>
      </c>
      <c r="K438" s="24">
        <v>46093</v>
      </c>
      <c r="L438" s="19"/>
      <c r="M438" s="19"/>
      <c r="N438" s="21">
        <v>0</v>
      </c>
      <c r="O438" s="23">
        <v>681.0700000000001</v>
      </c>
      <c r="P438" s="19" t="s">
        <v>1014</v>
      </c>
      <c r="Q438" s="20">
        <v>0</v>
      </c>
      <c r="R438" s="19" t="s">
        <v>1023</v>
      </c>
      <c r="S438" s="19"/>
    </row>
    <row r="439" spans="1:19">
      <c r="A439" s="19" t="s">
        <v>438</v>
      </c>
      <c r="B439" s="19" t="s">
        <v>824</v>
      </c>
      <c r="C439" s="19" t="s">
        <v>829</v>
      </c>
      <c r="D439" s="20">
        <v>0</v>
      </c>
      <c r="E439" s="19" t="s">
        <v>850</v>
      </c>
      <c r="F439" s="19" t="s">
        <v>874</v>
      </c>
      <c r="G439" s="19" t="s">
        <v>898</v>
      </c>
      <c r="H439" s="19" t="s">
        <v>908</v>
      </c>
      <c r="I439" s="19" t="s">
        <v>989</v>
      </c>
      <c r="J439" s="19" t="s">
        <v>1004</v>
      </c>
      <c r="K439" s="24">
        <v>46094</v>
      </c>
      <c r="L439" s="19"/>
      <c r="M439" s="19"/>
      <c r="N439" s="21">
        <v>0</v>
      </c>
      <c r="O439" s="23">
        <v>100</v>
      </c>
      <c r="P439" s="19" t="s">
        <v>1015</v>
      </c>
      <c r="Q439" s="20">
        <v>0</v>
      </c>
      <c r="R439" s="19" t="s">
        <v>1021</v>
      </c>
      <c r="S439" s="19"/>
    </row>
    <row r="440" spans="1:19">
      <c r="A440" s="19" t="s">
        <v>439</v>
      </c>
      <c r="B440" s="19" t="s">
        <v>825</v>
      </c>
      <c r="C440" s="19" t="s">
        <v>830</v>
      </c>
      <c r="D440" s="20">
        <v>1</v>
      </c>
      <c r="E440" s="19" t="s">
        <v>841</v>
      </c>
      <c r="F440" s="19" t="s">
        <v>865</v>
      </c>
      <c r="G440" s="19" t="s">
        <v>889</v>
      </c>
      <c r="H440" s="19" t="s">
        <v>943</v>
      </c>
      <c r="I440" s="19" t="s">
        <v>993</v>
      </c>
      <c r="J440" s="19" t="s">
        <v>1005</v>
      </c>
      <c r="K440" s="24">
        <v>46095</v>
      </c>
      <c r="L440" s="26">
        <v>46095.1</v>
      </c>
      <c r="M440" s="26">
        <v>46095.31666666667</v>
      </c>
      <c r="N440" s="21">
        <v>5.2</v>
      </c>
      <c r="O440" s="23">
        <v>7361.6</v>
      </c>
      <c r="P440" s="19" t="s">
        <v>1015</v>
      </c>
      <c r="Q440" s="20">
        <v>0</v>
      </c>
      <c r="R440" s="19" t="s">
        <v>1022</v>
      </c>
      <c r="S440" s="19" t="s">
        <v>1027</v>
      </c>
    </row>
    <row r="441" spans="1:19">
      <c r="A441" s="19" t="s">
        <v>440</v>
      </c>
      <c r="B441" s="19" t="s">
        <v>823</v>
      </c>
      <c r="C441" s="19" t="s">
        <v>828</v>
      </c>
      <c r="D441" s="20">
        <v>0</v>
      </c>
      <c r="E441" s="19" t="s">
        <v>848</v>
      </c>
      <c r="F441" s="19" t="s">
        <v>872</v>
      </c>
      <c r="G441" s="19" t="s">
        <v>896</v>
      </c>
      <c r="H441" s="19" t="s">
        <v>911</v>
      </c>
      <c r="I441" s="19" t="s">
        <v>989</v>
      </c>
      <c r="J441" s="19" t="s">
        <v>1004</v>
      </c>
      <c r="K441" s="24">
        <v>46095</v>
      </c>
      <c r="L441" s="19"/>
      <c r="M441" s="19"/>
      <c r="N441" s="21">
        <v>0</v>
      </c>
      <c r="O441" s="23">
        <v>1222.54</v>
      </c>
      <c r="P441" s="19" t="s">
        <v>1014</v>
      </c>
      <c r="Q441" s="20">
        <v>0</v>
      </c>
      <c r="R441" s="19" t="s">
        <v>1021</v>
      </c>
      <c r="S441" s="19"/>
    </row>
    <row r="442" spans="1:19">
      <c r="A442" s="19" t="s">
        <v>441</v>
      </c>
      <c r="B442" s="19" t="s">
        <v>823</v>
      </c>
      <c r="C442" s="19" t="s">
        <v>828</v>
      </c>
      <c r="D442" s="20">
        <v>0</v>
      </c>
      <c r="E442" s="19" t="s">
        <v>841</v>
      </c>
      <c r="F442" s="19" t="s">
        <v>865</v>
      </c>
      <c r="G442" s="19" t="s">
        <v>889</v>
      </c>
      <c r="H442" s="19" t="s">
        <v>912</v>
      </c>
      <c r="I442" s="19" t="s">
        <v>989</v>
      </c>
      <c r="J442" s="19" t="s">
        <v>1004</v>
      </c>
      <c r="K442" s="24">
        <v>46095</v>
      </c>
      <c r="L442" s="19"/>
      <c r="M442" s="19"/>
      <c r="N442" s="21">
        <v>0</v>
      </c>
      <c r="O442" s="23">
        <v>1653.31</v>
      </c>
      <c r="P442" s="19" t="s">
        <v>1015</v>
      </c>
      <c r="Q442" s="20">
        <v>0</v>
      </c>
      <c r="R442" s="19" t="s">
        <v>1022</v>
      </c>
      <c r="S442" s="19"/>
    </row>
    <row r="443" spans="1:19">
      <c r="A443" s="19" t="s">
        <v>442</v>
      </c>
      <c r="B443" s="19" t="s">
        <v>825</v>
      </c>
      <c r="C443" s="19" t="s">
        <v>830</v>
      </c>
      <c r="D443" s="20">
        <v>1</v>
      </c>
      <c r="E443" s="19" t="s">
        <v>843</v>
      </c>
      <c r="F443" s="19" t="s">
        <v>867</v>
      </c>
      <c r="G443" s="19" t="s">
        <v>891</v>
      </c>
      <c r="H443" s="19" t="s">
        <v>947</v>
      </c>
      <c r="I443" s="19" t="s">
        <v>1000</v>
      </c>
      <c r="J443" s="19" t="s">
        <v>1006</v>
      </c>
      <c r="K443" s="24">
        <v>46095</v>
      </c>
      <c r="L443" s="26">
        <v>46095.74930555555</v>
      </c>
      <c r="M443" s="26">
        <v>46095.88680555556</v>
      </c>
      <c r="N443" s="21">
        <v>3.3</v>
      </c>
      <c r="O443" s="23">
        <v>1518.56</v>
      </c>
      <c r="P443" s="19" t="s">
        <v>1015</v>
      </c>
      <c r="Q443" s="20">
        <v>0</v>
      </c>
      <c r="R443" s="19" t="s">
        <v>1021</v>
      </c>
      <c r="S443" s="19"/>
    </row>
    <row r="444" spans="1:19">
      <c r="A444" s="19" t="s">
        <v>443</v>
      </c>
      <c r="B444" s="19" t="s">
        <v>823</v>
      </c>
      <c r="C444" s="19" t="s">
        <v>828</v>
      </c>
      <c r="D444" s="20">
        <v>0</v>
      </c>
      <c r="E444" s="19" t="s">
        <v>856</v>
      </c>
      <c r="F444" s="19" t="s">
        <v>880</v>
      </c>
      <c r="G444" s="19" t="s">
        <v>904</v>
      </c>
      <c r="H444" s="19" t="s">
        <v>912</v>
      </c>
      <c r="I444" s="19" t="s">
        <v>989</v>
      </c>
      <c r="J444" s="19" t="s">
        <v>1004</v>
      </c>
      <c r="K444" s="24">
        <v>46096</v>
      </c>
      <c r="L444" s="19"/>
      <c r="M444" s="19"/>
      <c r="N444" s="21">
        <v>0</v>
      </c>
      <c r="O444" s="23">
        <v>127.54</v>
      </c>
      <c r="P444" s="19" t="s">
        <v>1014</v>
      </c>
      <c r="Q444" s="20">
        <v>0</v>
      </c>
      <c r="R444" s="19" t="s">
        <v>1022</v>
      </c>
      <c r="S444" s="19"/>
    </row>
    <row r="445" spans="1:19">
      <c r="A445" s="19" t="s">
        <v>444</v>
      </c>
      <c r="B445" s="19" t="s">
        <v>825</v>
      </c>
      <c r="C445" s="19" t="s">
        <v>830</v>
      </c>
      <c r="D445" s="20">
        <v>1</v>
      </c>
      <c r="E445" s="19" t="s">
        <v>843</v>
      </c>
      <c r="F445" s="19" t="s">
        <v>867</v>
      </c>
      <c r="G445" s="19" t="s">
        <v>891</v>
      </c>
      <c r="H445" s="19" t="s">
        <v>923</v>
      </c>
      <c r="I445" s="19" t="s">
        <v>990</v>
      </c>
      <c r="J445" s="19" t="s">
        <v>1005</v>
      </c>
      <c r="K445" s="24">
        <v>46096</v>
      </c>
      <c r="L445" s="26">
        <v>46096.82291666666</v>
      </c>
      <c r="M445" s="26">
        <v>46096.95625</v>
      </c>
      <c r="N445" s="21">
        <v>0</v>
      </c>
      <c r="O445" s="23">
        <v>1952.53</v>
      </c>
      <c r="P445" s="19" t="s">
        <v>1015</v>
      </c>
      <c r="Q445" s="20">
        <v>0</v>
      </c>
      <c r="R445" s="19" t="s">
        <v>1021</v>
      </c>
      <c r="S445" s="19" t="s">
        <v>1026</v>
      </c>
    </row>
    <row r="446" spans="1:19">
      <c r="A446" s="19" t="s">
        <v>445</v>
      </c>
      <c r="B446" s="19" t="s">
        <v>823</v>
      </c>
      <c r="C446" s="19" t="s">
        <v>828</v>
      </c>
      <c r="D446" s="20">
        <v>0</v>
      </c>
      <c r="E446" s="19" t="s">
        <v>851</v>
      </c>
      <c r="F446" s="19" t="s">
        <v>875</v>
      </c>
      <c r="G446" s="19" t="s">
        <v>899</v>
      </c>
      <c r="H446" s="19" t="s">
        <v>924</v>
      </c>
      <c r="I446" s="19" t="s">
        <v>989</v>
      </c>
      <c r="J446" s="19" t="s">
        <v>1004</v>
      </c>
      <c r="K446" s="24">
        <v>46097</v>
      </c>
      <c r="L446" s="19"/>
      <c r="M446" s="19"/>
      <c r="N446" s="21">
        <v>0</v>
      </c>
      <c r="O446" s="23">
        <v>612.02</v>
      </c>
      <c r="P446" s="19" t="s">
        <v>1015</v>
      </c>
      <c r="Q446" s="20">
        <v>0</v>
      </c>
      <c r="R446" s="19" t="s">
        <v>1023</v>
      </c>
      <c r="S446" s="19"/>
    </row>
    <row r="447" spans="1:19">
      <c r="A447" s="19" t="s">
        <v>446</v>
      </c>
      <c r="B447" s="19" t="s">
        <v>824</v>
      </c>
      <c r="C447" s="19" t="s">
        <v>829</v>
      </c>
      <c r="D447" s="20">
        <v>0</v>
      </c>
      <c r="E447" s="19" t="s">
        <v>844</v>
      </c>
      <c r="F447" s="19" t="s">
        <v>868</v>
      </c>
      <c r="G447" s="19" t="s">
        <v>892</v>
      </c>
      <c r="H447" s="19" t="s">
        <v>910</v>
      </c>
      <c r="I447" s="19" t="s">
        <v>989</v>
      </c>
      <c r="J447" s="19" t="s">
        <v>1004</v>
      </c>
      <c r="K447" s="24">
        <v>46097</v>
      </c>
      <c r="L447" s="19"/>
      <c r="M447" s="19"/>
      <c r="N447" s="21">
        <v>0</v>
      </c>
      <c r="O447" s="23">
        <v>140</v>
      </c>
      <c r="P447" s="19" t="s">
        <v>1014</v>
      </c>
      <c r="Q447" s="20">
        <v>0</v>
      </c>
      <c r="R447" s="19" t="s">
        <v>1023</v>
      </c>
      <c r="S447" s="19"/>
    </row>
    <row r="448" spans="1:19">
      <c r="A448" s="19" t="s">
        <v>447</v>
      </c>
      <c r="B448" s="19" t="s">
        <v>824</v>
      </c>
      <c r="C448" s="19" t="s">
        <v>829</v>
      </c>
      <c r="D448" s="20">
        <v>0</v>
      </c>
      <c r="E448" s="19" t="s">
        <v>849</v>
      </c>
      <c r="F448" s="19" t="s">
        <v>873</v>
      </c>
      <c r="G448" s="19" t="s">
        <v>897</v>
      </c>
      <c r="H448" s="19" t="s">
        <v>908</v>
      </c>
      <c r="I448" s="19" t="s">
        <v>989</v>
      </c>
      <c r="J448" s="19" t="s">
        <v>1004</v>
      </c>
      <c r="K448" s="24">
        <v>46097</v>
      </c>
      <c r="L448" s="19"/>
      <c r="M448" s="19"/>
      <c r="N448" s="21">
        <v>0</v>
      </c>
      <c r="O448" s="23">
        <v>320</v>
      </c>
      <c r="P448" s="19" t="s">
        <v>1014</v>
      </c>
      <c r="Q448" s="20">
        <v>0</v>
      </c>
      <c r="R448" s="19" t="s">
        <v>1022</v>
      </c>
      <c r="S448" s="19"/>
    </row>
    <row r="449" spans="1:19">
      <c r="A449" s="19" t="s">
        <v>448</v>
      </c>
      <c r="B449" s="19" t="s">
        <v>826</v>
      </c>
      <c r="C449" s="19" t="s">
        <v>831</v>
      </c>
      <c r="D449" s="20">
        <v>1</v>
      </c>
      <c r="E449" s="19" t="s">
        <v>848</v>
      </c>
      <c r="F449" s="19" t="s">
        <v>872</v>
      </c>
      <c r="G449" s="19" t="s">
        <v>896</v>
      </c>
      <c r="H449" s="19" t="s">
        <v>973</v>
      </c>
      <c r="I449" s="19" t="s">
        <v>991</v>
      </c>
      <c r="J449" s="19" t="s">
        <v>1006</v>
      </c>
      <c r="K449" s="24">
        <v>46099</v>
      </c>
      <c r="L449" s="26">
        <v>46099.57777777778</v>
      </c>
      <c r="M449" s="26">
        <v>46099.76111111111</v>
      </c>
      <c r="N449" s="21">
        <v>4.4</v>
      </c>
      <c r="O449" s="23">
        <v>21352.48</v>
      </c>
      <c r="P449" s="19" t="s">
        <v>1015</v>
      </c>
      <c r="Q449" s="20">
        <v>0</v>
      </c>
      <c r="R449" s="19" t="s">
        <v>1024</v>
      </c>
      <c r="S449" s="19"/>
    </row>
    <row r="450" spans="1:19">
      <c r="A450" s="19" t="s">
        <v>449</v>
      </c>
      <c r="B450" s="19" t="s">
        <v>826</v>
      </c>
      <c r="C450" s="19" t="s">
        <v>831</v>
      </c>
      <c r="D450" s="20">
        <v>1</v>
      </c>
      <c r="E450" s="19" t="s">
        <v>848</v>
      </c>
      <c r="F450" s="19" t="s">
        <v>872</v>
      </c>
      <c r="G450" s="19" t="s">
        <v>896</v>
      </c>
      <c r="H450" s="19" t="s">
        <v>927</v>
      </c>
      <c r="I450" s="19" t="s">
        <v>998</v>
      </c>
      <c r="J450" s="19" t="s">
        <v>1005</v>
      </c>
      <c r="K450" s="24">
        <v>46100</v>
      </c>
      <c r="L450" s="26">
        <v>46100.09791666667</v>
      </c>
      <c r="M450" s="26">
        <v>46100.48541666667</v>
      </c>
      <c r="N450" s="21">
        <v>9.300000000000001</v>
      </c>
      <c r="O450" s="23">
        <v>16718.49</v>
      </c>
      <c r="P450" s="19" t="s">
        <v>1014</v>
      </c>
      <c r="Q450" s="20">
        <v>0</v>
      </c>
      <c r="R450" s="19" t="s">
        <v>1024</v>
      </c>
      <c r="S450" s="19" t="s">
        <v>1030</v>
      </c>
    </row>
    <row r="451" spans="1:19">
      <c r="A451" s="19" t="s">
        <v>450</v>
      </c>
      <c r="B451" s="19" t="s">
        <v>823</v>
      </c>
      <c r="C451" s="19" t="s">
        <v>828</v>
      </c>
      <c r="D451" s="20">
        <v>0</v>
      </c>
      <c r="E451" s="19" t="s">
        <v>846</v>
      </c>
      <c r="F451" s="19" t="s">
        <v>870</v>
      </c>
      <c r="G451" s="19" t="s">
        <v>894</v>
      </c>
      <c r="H451" s="19" t="s">
        <v>911</v>
      </c>
      <c r="I451" s="19" t="s">
        <v>989</v>
      </c>
      <c r="J451" s="19" t="s">
        <v>1004</v>
      </c>
      <c r="K451" s="24">
        <v>46100</v>
      </c>
      <c r="L451" s="19"/>
      <c r="M451" s="19"/>
      <c r="N451" s="21">
        <v>0</v>
      </c>
      <c r="O451" s="23">
        <v>323.31</v>
      </c>
      <c r="P451" s="19" t="s">
        <v>1015</v>
      </c>
      <c r="Q451" s="20">
        <v>0</v>
      </c>
      <c r="R451" s="19" t="s">
        <v>1021</v>
      </c>
      <c r="S451" s="19"/>
    </row>
    <row r="452" spans="1:19">
      <c r="A452" s="19" t="s">
        <v>451</v>
      </c>
      <c r="B452" s="19" t="s">
        <v>823</v>
      </c>
      <c r="C452" s="19" t="s">
        <v>828</v>
      </c>
      <c r="D452" s="20">
        <v>0</v>
      </c>
      <c r="E452" s="19" t="s">
        <v>842</v>
      </c>
      <c r="F452" s="19" t="s">
        <v>866</v>
      </c>
      <c r="G452" s="19" t="s">
        <v>890</v>
      </c>
      <c r="H452" s="19" t="s">
        <v>909</v>
      </c>
      <c r="I452" s="19" t="s">
        <v>989</v>
      </c>
      <c r="J452" s="19" t="s">
        <v>1004</v>
      </c>
      <c r="K452" s="24">
        <v>46101</v>
      </c>
      <c r="L452" s="19"/>
      <c r="M452" s="19"/>
      <c r="N452" s="21">
        <v>0</v>
      </c>
      <c r="O452" s="23">
        <v>1757.32</v>
      </c>
      <c r="P452" s="19" t="s">
        <v>1016</v>
      </c>
      <c r="Q452" s="20">
        <v>1</v>
      </c>
      <c r="R452" s="19" t="s">
        <v>1023</v>
      </c>
      <c r="S452" s="19"/>
    </row>
    <row r="453" spans="1:19">
      <c r="A453" s="19" t="s">
        <v>452</v>
      </c>
      <c r="B453" s="19" t="s">
        <v>825</v>
      </c>
      <c r="C453" s="19" t="s">
        <v>830</v>
      </c>
      <c r="D453" s="20">
        <v>1</v>
      </c>
      <c r="E453" s="19" t="s">
        <v>854</v>
      </c>
      <c r="F453" s="19" t="s">
        <v>878</v>
      </c>
      <c r="G453" s="19" t="s">
        <v>902</v>
      </c>
      <c r="H453" s="19" t="s">
        <v>974</v>
      </c>
      <c r="I453" s="19" t="s">
        <v>1002</v>
      </c>
      <c r="J453" s="19" t="s">
        <v>1006</v>
      </c>
      <c r="K453" s="24">
        <v>46101</v>
      </c>
      <c r="L453" s="26">
        <v>46101.67430555556</v>
      </c>
      <c r="M453" s="26">
        <v>46101.77013888889</v>
      </c>
      <c r="N453" s="21">
        <v>2.3</v>
      </c>
      <c r="O453" s="23">
        <v>4343.41</v>
      </c>
      <c r="P453" s="19" t="s">
        <v>1015</v>
      </c>
      <c r="Q453" s="20">
        <v>0</v>
      </c>
      <c r="R453" s="19" t="s">
        <v>1022</v>
      </c>
      <c r="S453" s="19"/>
    </row>
    <row r="454" spans="1:19">
      <c r="A454" s="19" t="s">
        <v>453</v>
      </c>
      <c r="B454" s="19" t="s">
        <v>823</v>
      </c>
      <c r="C454" s="19" t="s">
        <v>828</v>
      </c>
      <c r="D454" s="20">
        <v>0</v>
      </c>
      <c r="E454" s="19" t="s">
        <v>837</v>
      </c>
      <c r="F454" s="19" t="s">
        <v>861</v>
      </c>
      <c r="G454" s="19" t="s">
        <v>885</v>
      </c>
      <c r="H454" s="19" t="s">
        <v>924</v>
      </c>
      <c r="I454" s="19" t="s">
        <v>989</v>
      </c>
      <c r="J454" s="19" t="s">
        <v>1004</v>
      </c>
      <c r="K454" s="24">
        <v>46102</v>
      </c>
      <c r="L454" s="19"/>
      <c r="M454" s="19"/>
      <c r="N454" s="21">
        <v>0</v>
      </c>
      <c r="O454" s="23">
        <v>1227.63</v>
      </c>
      <c r="P454" s="19" t="s">
        <v>1014</v>
      </c>
      <c r="Q454" s="20">
        <v>0</v>
      </c>
      <c r="R454" s="19" t="s">
        <v>1021</v>
      </c>
      <c r="S454" s="19"/>
    </row>
    <row r="455" spans="1:19">
      <c r="A455" s="19" t="s">
        <v>454</v>
      </c>
      <c r="B455" s="19" t="s">
        <v>823</v>
      </c>
      <c r="C455" s="19" t="s">
        <v>828</v>
      </c>
      <c r="D455" s="20">
        <v>0</v>
      </c>
      <c r="E455" s="19" t="s">
        <v>847</v>
      </c>
      <c r="F455" s="19" t="s">
        <v>871</v>
      </c>
      <c r="G455" s="19" t="s">
        <v>895</v>
      </c>
      <c r="H455" s="19" t="s">
        <v>924</v>
      </c>
      <c r="I455" s="19" t="s">
        <v>989</v>
      </c>
      <c r="J455" s="19" t="s">
        <v>1004</v>
      </c>
      <c r="K455" s="24">
        <v>46102</v>
      </c>
      <c r="L455" s="19"/>
      <c r="M455" s="19"/>
      <c r="N455" s="21">
        <v>0</v>
      </c>
      <c r="O455" s="23">
        <v>386.16</v>
      </c>
      <c r="P455" s="19" t="s">
        <v>1015</v>
      </c>
      <c r="Q455" s="20">
        <v>0</v>
      </c>
      <c r="R455" s="19" t="s">
        <v>1021</v>
      </c>
      <c r="S455" s="19"/>
    </row>
    <row r="456" spans="1:19">
      <c r="A456" s="19" t="s">
        <v>455</v>
      </c>
      <c r="B456" s="19" t="s">
        <v>823</v>
      </c>
      <c r="C456" s="19" t="s">
        <v>828</v>
      </c>
      <c r="D456" s="20">
        <v>0</v>
      </c>
      <c r="E456" s="19" t="s">
        <v>853</v>
      </c>
      <c r="F456" s="19" t="s">
        <v>877</v>
      </c>
      <c r="G456" s="19" t="s">
        <v>901</v>
      </c>
      <c r="H456" s="19" t="s">
        <v>912</v>
      </c>
      <c r="I456" s="19" t="s">
        <v>989</v>
      </c>
      <c r="J456" s="19" t="s">
        <v>1004</v>
      </c>
      <c r="K456" s="24">
        <v>46102</v>
      </c>
      <c r="L456" s="19"/>
      <c r="M456" s="19"/>
      <c r="N456" s="21">
        <v>0</v>
      </c>
      <c r="O456" s="23">
        <v>539.99</v>
      </c>
      <c r="P456" s="19" t="s">
        <v>1014</v>
      </c>
      <c r="Q456" s="20">
        <v>0</v>
      </c>
      <c r="R456" s="19" t="s">
        <v>1023</v>
      </c>
      <c r="S456" s="19"/>
    </row>
    <row r="457" spans="1:19">
      <c r="A457" s="19" t="s">
        <v>456</v>
      </c>
      <c r="B457" s="19" t="s">
        <v>823</v>
      </c>
      <c r="C457" s="19" t="s">
        <v>828</v>
      </c>
      <c r="D457" s="20">
        <v>0</v>
      </c>
      <c r="E457" s="19" t="s">
        <v>836</v>
      </c>
      <c r="F457" s="19" t="s">
        <v>860</v>
      </c>
      <c r="G457" s="19" t="s">
        <v>884</v>
      </c>
      <c r="H457" s="19" t="s">
        <v>912</v>
      </c>
      <c r="I457" s="19" t="s">
        <v>989</v>
      </c>
      <c r="J457" s="19" t="s">
        <v>1004</v>
      </c>
      <c r="K457" s="24">
        <v>46103</v>
      </c>
      <c r="L457" s="19"/>
      <c r="M457" s="19"/>
      <c r="N457" s="21">
        <v>0</v>
      </c>
      <c r="O457" s="23">
        <v>189.38</v>
      </c>
      <c r="P457" s="19" t="s">
        <v>1014</v>
      </c>
      <c r="Q457" s="20">
        <v>0</v>
      </c>
      <c r="R457" s="19" t="s">
        <v>1023</v>
      </c>
      <c r="S457" s="19"/>
    </row>
    <row r="458" spans="1:19">
      <c r="A458" s="19" t="s">
        <v>457</v>
      </c>
      <c r="B458" s="19" t="s">
        <v>824</v>
      </c>
      <c r="C458" s="19" t="s">
        <v>829</v>
      </c>
      <c r="D458" s="20">
        <v>0</v>
      </c>
      <c r="E458" s="19" t="s">
        <v>853</v>
      </c>
      <c r="F458" s="19" t="s">
        <v>877</v>
      </c>
      <c r="G458" s="19" t="s">
        <v>901</v>
      </c>
      <c r="H458" s="19" t="s">
        <v>910</v>
      </c>
      <c r="I458" s="19" t="s">
        <v>989</v>
      </c>
      <c r="J458" s="19" t="s">
        <v>1004</v>
      </c>
      <c r="K458" s="24">
        <v>46103</v>
      </c>
      <c r="L458" s="19"/>
      <c r="M458" s="19"/>
      <c r="N458" s="21">
        <v>0</v>
      </c>
      <c r="O458" s="23">
        <v>140</v>
      </c>
      <c r="P458" s="19" t="s">
        <v>1014</v>
      </c>
      <c r="Q458" s="20">
        <v>0</v>
      </c>
      <c r="R458" s="19" t="s">
        <v>1021</v>
      </c>
      <c r="S458" s="19"/>
    </row>
    <row r="459" spans="1:19">
      <c r="A459" s="19" t="s">
        <v>458</v>
      </c>
      <c r="B459" s="19" t="s">
        <v>823</v>
      </c>
      <c r="C459" s="19" t="s">
        <v>828</v>
      </c>
      <c r="D459" s="20">
        <v>0</v>
      </c>
      <c r="E459" s="19" t="s">
        <v>844</v>
      </c>
      <c r="F459" s="19" t="s">
        <v>868</v>
      </c>
      <c r="G459" s="19" t="s">
        <v>892</v>
      </c>
      <c r="H459" s="19" t="s">
        <v>924</v>
      </c>
      <c r="I459" s="19" t="s">
        <v>989</v>
      </c>
      <c r="J459" s="19" t="s">
        <v>1004</v>
      </c>
      <c r="K459" s="24">
        <v>46104</v>
      </c>
      <c r="L459" s="19"/>
      <c r="M459" s="19"/>
      <c r="N459" s="21">
        <v>0</v>
      </c>
      <c r="O459" s="23">
        <v>448.55</v>
      </c>
      <c r="P459" s="19" t="s">
        <v>1015</v>
      </c>
      <c r="Q459" s="20">
        <v>0</v>
      </c>
      <c r="R459" s="19" t="s">
        <v>1023</v>
      </c>
      <c r="S459" s="19"/>
    </row>
    <row r="460" spans="1:19">
      <c r="A460" s="19" t="s">
        <v>459</v>
      </c>
      <c r="B460" s="19" t="s">
        <v>823</v>
      </c>
      <c r="C460" s="19" t="s">
        <v>828</v>
      </c>
      <c r="D460" s="20">
        <v>0</v>
      </c>
      <c r="E460" s="19" t="s">
        <v>843</v>
      </c>
      <c r="F460" s="19" t="s">
        <v>867</v>
      </c>
      <c r="G460" s="19" t="s">
        <v>891</v>
      </c>
      <c r="H460" s="19" t="s">
        <v>911</v>
      </c>
      <c r="I460" s="19" t="s">
        <v>989</v>
      </c>
      <c r="J460" s="19" t="s">
        <v>1004</v>
      </c>
      <c r="K460" s="24">
        <v>46105</v>
      </c>
      <c r="L460" s="19"/>
      <c r="M460" s="19"/>
      <c r="N460" s="21">
        <v>0</v>
      </c>
      <c r="O460" s="23">
        <v>261.67</v>
      </c>
      <c r="P460" s="19" t="s">
        <v>1014</v>
      </c>
      <c r="Q460" s="20">
        <v>0</v>
      </c>
      <c r="R460" s="19" t="s">
        <v>1021</v>
      </c>
      <c r="S460" s="19"/>
    </row>
    <row r="461" spans="1:19">
      <c r="A461" s="19" t="s">
        <v>460</v>
      </c>
      <c r="B461" s="19" t="s">
        <v>823</v>
      </c>
      <c r="C461" s="19" t="s">
        <v>828</v>
      </c>
      <c r="D461" s="20">
        <v>0</v>
      </c>
      <c r="E461" s="19" t="s">
        <v>834</v>
      </c>
      <c r="F461" s="19" t="s">
        <v>858</v>
      </c>
      <c r="G461" s="19" t="s">
        <v>882</v>
      </c>
      <c r="H461" s="19" t="s">
        <v>907</v>
      </c>
      <c r="I461" s="19" t="s">
        <v>989</v>
      </c>
      <c r="J461" s="19" t="s">
        <v>1004</v>
      </c>
      <c r="K461" s="24">
        <v>46105</v>
      </c>
      <c r="L461" s="19"/>
      <c r="M461" s="19"/>
      <c r="N461" s="21">
        <v>0</v>
      </c>
      <c r="O461" s="23">
        <v>376.53</v>
      </c>
      <c r="P461" s="19" t="s">
        <v>1015</v>
      </c>
      <c r="Q461" s="20">
        <v>0</v>
      </c>
      <c r="R461" s="19" t="s">
        <v>1023</v>
      </c>
      <c r="S461" s="19"/>
    </row>
    <row r="462" spans="1:19">
      <c r="A462" s="19" t="s">
        <v>461</v>
      </c>
      <c r="B462" s="19" t="s">
        <v>824</v>
      </c>
      <c r="C462" s="19" t="s">
        <v>829</v>
      </c>
      <c r="D462" s="20">
        <v>0</v>
      </c>
      <c r="E462" s="19" t="s">
        <v>856</v>
      </c>
      <c r="F462" s="19" t="s">
        <v>880</v>
      </c>
      <c r="G462" s="19" t="s">
        <v>904</v>
      </c>
      <c r="H462" s="19" t="s">
        <v>914</v>
      </c>
      <c r="I462" s="19" t="s">
        <v>989</v>
      </c>
      <c r="J462" s="19" t="s">
        <v>1004</v>
      </c>
      <c r="K462" s="24">
        <v>46105</v>
      </c>
      <c r="L462" s="19"/>
      <c r="M462" s="19"/>
      <c r="N462" s="21">
        <v>0</v>
      </c>
      <c r="O462" s="23">
        <v>48</v>
      </c>
      <c r="P462" s="19" t="s">
        <v>1015</v>
      </c>
      <c r="Q462" s="20">
        <v>0</v>
      </c>
      <c r="R462" s="19" t="s">
        <v>1022</v>
      </c>
      <c r="S462" s="19"/>
    </row>
    <row r="463" spans="1:19">
      <c r="A463" s="19" t="s">
        <v>462</v>
      </c>
      <c r="B463" s="19" t="s">
        <v>825</v>
      </c>
      <c r="C463" s="19" t="s">
        <v>830</v>
      </c>
      <c r="D463" s="20">
        <v>1</v>
      </c>
      <c r="E463" s="19" t="s">
        <v>843</v>
      </c>
      <c r="F463" s="19" t="s">
        <v>867</v>
      </c>
      <c r="G463" s="19" t="s">
        <v>891</v>
      </c>
      <c r="H463" s="19" t="s">
        <v>942</v>
      </c>
      <c r="I463" s="19" t="s">
        <v>990</v>
      </c>
      <c r="J463" s="19" t="s">
        <v>1006</v>
      </c>
      <c r="K463" s="24">
        <v>46105</v>
      </c>
      <c r="L463" s="26">
        <v>46105.79305555556</v>
      </c>
      <c r="M463" s="26">
        <v>46105.85972222222</v>
      </c>
      <c r="N463" s="21">
        <v>1.6</v>
      </c>
      <c r="O463" s="23">
        <v>1582.67</v>
      </c>
      <c r="P463" s="19" t="s">
        <v>1014</v>
      </c>
      <c r="Q463" s="20">
        <v>0</v>
      </c>
      <c r="R463" s="19" t="s">
        <v>1022</v>
      </c>
      <c r="S463" s="19"/>
    </row>
    <row r="464" spans="1:19">
      <c r="A464" s="19" t="s">
        <v>463</v>
      </c>
      <c r="B464" s="19" t="s">
        <v>824</v>
      </c>
      <c r="C464" s="19" t="s">
        <v>829</v>
      </c>
      <c r="D464" s="20">
        <v>0</v>
      </c>
      <c r="E464" s="19" t="s">
        <v>842</v>
      </c>
      <c r="F464" s="19" t="s">
        <v>866</v>
      </c>
      <c r="G464" s="19" t="s">
        <v>890</v>
      </c>
      <c r="H464" s="19" t="s">
        <v>914</v>
      </c>
      <c r="I464" s="19" t="s">
        <v>989</v>
      </c>
      <c r="J464" s="19" t="s">
        <v>1004</v>
      </c>
      <c r="K464" s="24">
        <v>46106</v>
      </c>
      <c r="L464" s="19"/>
      <c r="M464" s="19"/>
      <c r="N464" s="21">
        <v>0</v>
      </c>
      <c r="O464" s="23">
        <v>320</v>
      </c>
      <c r="P464" s="19" t="s">
        <v>1015</v>
      </c>
      <c r="Q464" s="20">
        <v>0</v>
      </c>
      <c r="R464" s="19" t="s">
        <v>1023</v>
      </c>
      <c r="S464" s="19"/>
    </row>
    <row r="465" spans="1:19">
      <c r="A465" s="19" t="s">
        <v>464</v>
      </c>
      <c r="B465" s="19" t="s">
        <v>825</v>
      </c>
      <c r="C465" s="19" t="s">
        <v>830</v>
      </c>
      <c r="D465" s="20">
        <v>1</v>
      </c>
      <c r="E465" s="19" t="s">
        <v>845</v>
      </c>
      <c r="F465" s="19" t="s">
        <v>869</v>
      </c>
      <c r="G465" s="19" t="s">
        <v>893</v>
      </c>
      <c r="H465" s="19" t="s">
        <v>934</v>
      </c>
      <c r="I465" s="19" t="s">
        <v>993</v>
      </c>
      <c r="J465" s="19" t="s">
        <v>1006</v>
      </c>
      <c r="K465" s="24">
        <v>46106</v>
      </c>
      <c r="L465" s="26">
        <v>46106.43958333333</v>
      </c>
      <c r="M465" s="26">
        <v>46106.73125</v>
      </c>
      <c r="N465" s="21">
        <v>7</v>
      </c>
      <c r="O465" s="23">
        <v>8472.620000000001</v>
      </c>
      <c r="P465" s="19" t="s">
        <v>1015</v>
      </c>
      <c r="Q465" s="20">
        <v>0</v>
      </c>
      <c r="R465" s="19" t="s">
        <v>1022</v>
      </c>
      <c r="S465" s="19"/>
    </row>
    <row r="466" spans="1:19">
      <c r="A466" s="19" t="s">
        <v>465</v>
      </c>
      <c r="B466" s="19" t="s">
        <v>825</v>
      </c>
      <c r="C466" s="19" t="s">
        <v>830</v>
      </c>
      <c r="D466" s="20">
        <v>1</v>
      </c>
      <c r="E466" s="19" t="s">
        <v>849</v>
      </c>
      <c r="F466" s="19" t="s">
        <v>873</v>
      </c>
      <c r="G466" s="19" t="s">
        <v>897</v>
      </c>
      <c r="H466" s="19" t="s">
        <v>956</v>
      </c>
      <c r="I466" s="19" t="s">
        <v>1001</v>
      </c>
      <c r="J466" s="19" t="s">
        <v>1005</v>
      </c>
      <c r="K466" s="24">
        <v>46107</v>
      </c>
      <c r="L466" s="26">
        <v>46107.47430555556</v>
      </c>
      <c r="M466" s="26">
        <v>46108.01180555556</v>
      </c>
      <c r="N466" s="21">
        <v>0</v>
      </c>
      <c r="O466" s="23">
        <v>5288.23</v>
      </c>
      <c r="P466" s="19" t="s">
        <v>1014</v>
      </c>
      <c r="Q466" s="20">
        <v>0</v>
      </c>
      <c r="R466" s="19" t="s">
        <v>1021</v>
      </c>
      <c r="S466" s="19" t="s">
        <v>1035</v>
      </c>
    </row>
    <row r="467" spans="1:19">
      <c r="A467" s="19" t="s">
        <v>466</v>
      </c>
      <c r="B467" s="19" t="s">
        <v>823</v>
      </c>
      <c r="C467" s="19" t="s">
        <v>828</v>
      </c>
      <c r="D467" s="20">
        <v>0</v>
      </c>
      <c r="E467" s="19" t="s">
        <v>850</v>
      </c>
      <c r="F467" s="19" t="s">
        <v>874</v>
      </c>
      <c r="G467" s="19" t="s">
        <v>898</v>
      </c>
      <c r="H467" s="19" t="s">
        <v>924</v>
      </c>
      <c r="I467" s="19" t="s">
        <v>989</v>
      </c>
      <c r="J467" s="19" t="s">
        <v>1004</v>
      </c>
      <c r="K467" s="24">
        <v>46108</v>
      </c>
      <c r="L467" s="19"/>
      <c r="M467" s="19"/>
      <c r="N467" s="21">
        <v>0</v>
      </c>
      <c r="O467" s="23">
        <v>291.13</v>
      </c>
      <c r="P467" s="19" t="s">
        <v>1014</v>
      </c>
      <c r="Q467" s="20">
        <v>0</v>
      </c>
      <c r="R467" s="19" t="s">
        <v>1022</v>
      </c>
      <c r="S467" s="19"/>
    </row>
    <row r="468" spans="1:19">
      <c r="A468" s="19" t="s">
        <v>467</v>
      </c>
      <c r="B468" s="19" t="s">
        <v>825</v>
      </c>
      <c r="C468" s="19" t="s">
        <v>830</v>
      </c>
      <c r="D468" s="20">
        <v>1</v>
      </c>
      <c r="E468" s="19" t="s">
        <v>847</v>
      </c>
      <c r="F468" s="19" t="s">
        <v>871</v>
      </c>
      <c r="G468" s="19" t="s">
        <v>895</v>
      </c>
      <c r="H468" s="19" t="s">
        <v>935</v>
      </c>
      <c r="I468" s="19" t="s">
        <v>998</v>
      </c>
      <c r="J468" s="19" t="s">
        <v>1005</v>
      </c>
      <c r="K468" s="24">
        <v>46108</v>
      </c>
      <c r="L468" s="26">
        <v>46108.74861111111</v>
      </c>
      <c r="M468" s="26">
        <v>46108.90694444445</v>
      </c>
      <c r="N468" s="21">
        <v>0</v>
      </c>
      <c r="O468" s="23">
        <v>3825.95</v>
      </c>
      <c r="P468" s="19" t="s">
        <v>1014</v>
      </c>
      <c r="Q468" s="20">
        <v>0</v>
      </c>
      <c r="R468" s="19" t="s">
        <v>1021</v>
      </c>
      <c r="S468" s="19" t="s">
        <v>1030</v>
      </c>
    </row>
    <row r="469" spans="1:19">
      <c r="A469" s="19" t="s">
        <v>468</v>
      </c>
      <c r="B469" s="19" t="s">
        <v>823</v>
      </c>
      <c r="C469" s="19" t="s">
        <v>828</v>
      </c>
      <c r="D469" s="20">
        <v>0</v>
      </c>
      <c r="E469" s="19" t="s">
        <v>839</v>
      </c>
      <c r="F469" s="19" t="s">
        <v>863</v>
      </c>
      <c r="G469" s="19" t="s">
        <v>887</v>
      </c>
      <c r="H469" s="19" t="s">
        <v>907</v>
      </c>
      <c r="I469" s="19" t="s">
        <v>989</v>
      </c>
      <c r="J469" s="19" t="s">
        <v>1004</v>
      </c>
      <c r="K469" s="24">
        <v>46109</v>
      </c>
      <c r="L469" s="19"/>
      <c r="M469" s="19"/>
      <c r="N469" s="21">
        <v>0</v>
      </c>
      <c r="O469" s="23">
        <v>251.62</v>
      </c>
      <c r="P469" s="19" t="s">
        <v>1015</v>
      </c>
      <c r="Q469" s="20">
        <v>0</v>
      </c>
      <c r="R469" s="19" t="s">
        <v>1021</v>
      </c>
      <c r="S469" s="19"/>
    </row>
    <row r="470" spans="1:19">
      <c r="A470" s="19" t="s">
        <v>469</v>
      </c>
      <c r="B470" s="19" t="s">
        <v>823</v>
      </c>
      <c r="C470" s="19" t="s">
        <v>828</v>
      </c>
      <c r="D470" s="20">
        <v>0</v>
      </c>
      <c r="E470" s="19" t="s">
        <v>852</v>
      </c>
      <c r="F470" s="19" t="s">
        <v>876</v>
      </c>
      <c r="G470" s="19" t="s">
        <v>900</v>
      </c>
      <c r="H470" s="19" t="s">
        <v>917</v>
      </c>
      <c r="I470" s="19" t="s">
        <v>989</v>
      </c>
      <c r="J470" s="19" t="s">
        <v>1004</v>
      </c>
      <c r="K470" s="24">
        <v>46109</v>
      </c>
      <c r="L470" s="19"/>
      <c r="M470" s="19"/>
      <c r="N470" s="21">
        <v>0</v>
      </c>
      <c r="O470" s="23">
        <v>1112.92</v>
      </c>
      <c r="P470" s="19" t="s">
        <v>1014</v>
      </c>
      <c r="Q470" s="20">
        <v>0</v>
      </c>
      <c r="R470" s="19" t="s">
        <v>1022</v>
      </c>
      <c r="S470" s="19"/>
    </row>
    <row r="471" spans="1:19">
      <c r="A471" s="19" t="s">
        <v>470</v>
      </c>
      <c r="B471" s="19" t="s">
        <v>824</v>
      </c>
      <c r="C471" s="19" t="s">
        <v>829</v>
      </c>
      <c r="D471" s="20">
        <v>0</v>
      </c>
      <c r="E471" s="19" t="s">
        <v>841</v>
      </c>
      <c r="F471" s="19" t="s">
        <v>865</v>
      </c>
      <c r="G471" s="19" t="s">
        <v>889</v>
      </c>
      <c r="H471" s="19" t="s">
        <v>910</v>
      </c>
      <c r="I471" s="19" t="s">
        <v>989</v>
      </c>
      <c r="J471" s="19" t="s">
        <v>1004</v>
      </c>
      <c r="K471" s="24">
        <v>46109</v>
      </c>
      <c r="L471" s="19"/>
      <c r="M471" s="19"/>
      <c r="N471" s="21">
        <v>0</v>
      </c>
      <c r="O471" s="23">
        <v>480</v>
      </c>
      <c r="P471" s="19" t="s">
        <v>1015</v>
      </c>
      <c r="Q471" s="20">
        <v>0</v>
      </c>
      <c r="R471" s="19" t="s">
        <v>1022</v>
      </c>
      <c r="S471" s="19"/>
    </row>
    <row r="472" spans="1:19">
      <c r="A472" s="19" t="s">
        <v>471</v>
      </c>
      <c r="B472" s="19" t="s">
        <v>825</v>
      </c>
      <c r="C472" s="19" t="s">
        <v>830</v>
      </c>
      <c r="D472" s="20">
        <v>1</v>
      </c>
      <c r="E472" s="19" t="s">
        <v>849</v>
      </c>
      <c r="F472" s="19" t="s">
        <v>873</v>
      </c>
      <c r="G472" s="19" t="s">
        <v>897</v>
      </c>
      <c r="H472" s="19" t="s">
        <v>968</v>
      </c>
      <c r="I472" s="19" t="s">
        <v>1001</v>
      </c>
      <c r="J472" s="19" t="s">
        <v>1006</v>
      </c>
      <c r="K472" s="24">
        <v>46110</v>
      </c>
      <c r="L472" s="26">
        <v>46110.09722222222</v>
      </c>
      <c r="M472" s="26">
        <v>46110.67638888889</v>
      </c>
      <c r="N472" s="21">
        <v>13.9</v>
      </c>
      <c r="O472" s="23">
        <v>8358.559999999999</v>
      </c>
      <c r="P472" s="19" t="s">
        <v>1015</v>
      </c>
      <c r="Q472" s="20">
        <v>0</v>
      </c>
      <c r="R472" s="19" t="s">
        <v>1021</v>
      </c>
      <c r="S472" s="19"/>
    </row>
    <row r="473" spans="1:19">
      <c r="A473" s="19" t="s">
        <v>472</v>
      </c>
      <c r="B473" s="19" t="s">
        <v>823</v>
      </c>
      <c r="C473" s="19" t="s">
        <v>828</v>
      </c>
      <c r="D473" s="20">
        <v>0</v>
      </c>
      <c r="E473" s="19" t="s">
        <v>845</v>
      </c>
      <c r="F473" s="19" t="s">
        <v>869</v>
      </c>
      <c r="G473" s="19" t="s">
        <v>893</v>
      </c>
      <c r="H473" s="19" t="s">
        <v>909</v>
      </c>
      <c r="I473" s="19" t="s">
        <v>989</v>
      </c>
      <c r="J473" s="19" t="s">
        <v>1004</v>
      </c>
      <c r="K473" s="24">
        <v>46111</v>
      </c>
      <c r="L473" s="19"/>
      <c r="M473" s="19"/>
      <c r="N473" s="21">
        <v>0</v>
      </c>
      <c r="O473" s="23">
        <v>1664.41</v>
      </c>
      <c r="P473" s="19" t="s">
        <v>1015</v>
      </c>
      <c r="Q473" s="20">
        <v>0</v>
      </c>
      <c r="R473" s="19" t="s">
        <v>1022</v>
      </c>
      <c r="S473" s="19"/>
    </row>
    <row r="474" spans="1:19">
      <c r="A474" s="19" t="s">
        <v>473</v>
      </c>
      <c r="B474" s="19" t="s">
        <v>823</v>
      </c>
      <c r="C474" s="19" t="s">
        <v>828</v>
      </c>
      <c r="D474" s="20">
        <v>0</v>
      </c>
      <c r="E474" s="19" t="s">
        <v>841</v>
      </c>
      <c r="F474" s="19" t="s">
        <v>865</v>
      </c>
      <c r="G474" s="19" t="s">
        <v>889</v>
      </c>
      <c r="H474" s="19" t="s">
        <v>924</v>
      </c>
      <c r="I474" s="19" t="s">
        <v>989</v>
      </c>
      <c r="J474" s="19" t="s">
        <v>1004</v>
      </c>
      <c r="K474" s="24">
        <v>46111</v>
      </c>
      <c r="L474" s="19"/>
      <c r="M474" s="19"/>
      <c r="N474" s="21">
        <v>0</v>
      </c>
      <c r="O474" s="23">
        <v>1567.77</v>
      </c>
      <c r="P474" s="19" t="s">
        <v>1015</v>
      </c>
      <c r="Q474" s="20">
        <v>0</v>
      </c>
      <c r="R474" s="19" t="s">
        <v>1021</v>
      </c>
      <c r="S474" s="19"/>
    </row>
    <row r="475" spans="1:19">
      <c r="A475" s="19" t="s">
        <v>474</v>
      </c>
      <c r="B475" s="19" t="s">
        <v>823</v>
      </c>
      <c r="C475" s="19" t="s">
        <v>828</v>
      </c>
      <c r="D475" s="20">
        <v>0</v>
      </c>
      <c r="E475" s="19" t="s">
        <v>838</v>
      </c>
      <c r="F475" s="19" t="s">
        <v>862</v>
      </c>
      <c r="G475" s="19" t="s">
        <v>886</v>
      </c>
      <c r="H475" s="19" t="s">
        <v>909</v>
      </c>
      <c r="I475" s="19" t="s">
        <v>989</v>
      </c>
      <c r="J475" s="19" t="s">
        <v>1004</v>
      </c>
      <c r="K475" s="24">
        <v>46111</v>
      </c>
      <c r="L475" s="19"/>
      <c r="M475" s="19"/>
      <c r="N475" s="21">
        <v>0</v>
      </c>
      <c r="O475" s="23">
        <v>299.35</v>
      </c>
      <c r="P475" s="19" t="s">
        <v>1014</v>
      </c>
      <c r="Q475" s="20">
        <v>0</v>
      </c>
      <c r="R475" s="19" t="s">
        <v>1022</v>
      </c>
      <c r="S475" s="19"/>
    </row>
    <row r="476" spans="1:19">
      <c r="A476" s="19" t="s">
        <v>475</v>
      </c>
      <c r="B476" s="19" t="s">
        <v>823</v>
      </c>
      <c r="C476" s="19" t="s">
        <v>828</v>
      </c>
      <c r="D476" s="20">
        <v>0</v>
      </c>
      <c r="E476" s="19" t="s">
        <v>840</v>
      </c>
      <c r="F476" s="19" t="s">
        <v>864</v>
      </c>
      <c r="G476" s="19" t="s">
        <v>888</v>
      </c>
      <c r="H476" s="19" t="s">
        <v>912</v>
      </c>
      <c r="I476" s="19" t="s">
        <v>989</v>
      </c>
      <c r="J476" s="19" t="s">
        <v>1004</v>
      </c>
      <c r="K476" s="24">
        <v>46111</v>
      </c>
      <c r="L476" s="19"/>
      <c r="M476" s="19"/>
      <c r="N476" s="21">
        <v>0</v>
      </c>
      <c r="O476" s="23">
        <v>796.3099999999999</v>
      </c>
      <c r="P476" s="19" t="s">
        <v>1014</v>
      </c>
      <c r="Q476" s="20">
        <v>0</v>
      </c>
      <c r="R476" s="19" t="s">
        <v>1022</v>
      </c>
      <c r="S476" s="19"/>
    </row>
    <row r="477" spans="1:19">
      <c r="A477" s="19" t="s">
        <v>476</v>
      </c>
      <c r="B477" s="19" t="s">
        <v>823</v>
      </c>
      <c r="C477" s="19" t="s">
        <v>828</v>
      </c>
      <c r="D477" s="20">
        <v>0</v>
      </c>
      <c r="E477" s="19" t="s">
        <v>848</v>
      </c>
      <c r="F477" s="19" t="s">
        <v>872</v>
      </c>
      <c r="G477" s="19" t="s">
        <v>896</v>
      </c>
      <c r="H477" s="19" t="s">
        <v>912</v>
      </c>
      <c r="I477" s="19" t="s">
        <v>989</v>
      </c>
      <c r="J477" s="19" t="s">
        <v>1004</v>
      </c>
      <c r="K477" s="24">
        <v>46112</v>
      </c>
      <c r="L477" s="19"/>
      <c r="M477" s="19"/>
      <c r="N477" s="21">
        <v>0</v>
      </c>
      <c r="O477" s="23">
        <v>1137.66</v>
      </c>
      <c r="P477" s="19" t="s">
        <v>1014</v>
      </c>
      <c r="Q477" s="20">
        <v>0</v>
      </c>
      <c r="R477" s="19" t="s">
        <v>1023</v>
      </c>
      <c r="S477" s="19"/>
    </row>
    <row r="478" spans="1:19">
      <c r="A478" s="19" t="s">
        <v>477</v>
      </c>
      <c r="B478" s="19" t="s">
        <v>824</v>
      </c>
      <c r="C478" s="19" t="s">
        <v>829</v>
      </c>
      <c r="D478" s="20">
        <v>0</v>
      </c>
      <c r="E478" s="19" t="s">
        <v>838</v>
      </c>
      <c r="F478" s="19" t="s">
        <v>862</v>
      </c>
      <c r="G478" s="19" t="s">
        <v>886</v>
      </c>
      <c r="H478" s="19" t="s">
        <v>910</v>
      </c>
      <c r="I478" s="19" t="s">
        <v>989</v>
      </c>
      <c r="J478" s="19" t="s">
        <v>1004</v>
      </c>
      <c r="K478" s="24">
        <v>46112</v>
      </c>
      <c r="L478" s="19"/>
      <c r="M478" s="19"/>
      <c r="N478" s="21">
        <v>0</v>
      </c>
      <c r="O478" s="23">
        <v>80</v>
      </c>
      <c r="P478" s="19" t="s">
        <v>1014</v>
      </c>
      <c r="Q478" s="20">
        <v>0</v>
      </c>
      <c r="R478" s="19" t="s">
        <v>1023</v>
      </c>
      <c r="S478" s="19"/>
    </row>
    <row r="479" spans="1:19">
      <c r="A479" s="19" t="s">
        <v>478</v>
      </c>
      <c r="B479" s="19" t="s">
        <v>824</v>
      </c>
      <c r="C479" s="19" t="s">
        <v>829</v>
      </c>
      <c r="D479" s="20">
        <v>0</v>
      </c>
      <c r="E479" s="19" t="s">
        <v>839</v>
      </c>
      <c r="F479" s="19" t="s">
        <v>863</v>
      </c>
      <c r="G479" s="19" t="s">
        <v>887</v>
      </c>
      <c r="H479" s="19" t="s">
        <v>908</v>
      </c>
      <c r="I479" s="19" t="s">
        <v>989</v>
      </c>
      <c r="J479" s="19" t="s">
        <v>1004</v>
      </c>
      <c r="K479" s="24">
        <v>46112</v>
      </c>
      <c r="L479" s="19"/>
      <c r="M479" s="19"/>
      <c r="N479" s="21">
        <v>0</v>
      </c>
      <c r="O479" s="23">
        <v>160</v>
      </c>
      <c r="P479" s="19" t="s">
        <v>1016</v>
      </c>
      <c r="Q479" s="20">
        <v>1</v>
      </c>
      <c r="R479" s="19" t="s">
        <v>1022</v>
      </c>
      <c r="S479" s="19"/>
    </row>
    <row r="480" spans="1:19">
      <c r="A480" s="19" t="s">
        <v>479</v>
      </c>
      <c r="B480" s="19" t="s">
        <v>824</v>
      </c>
      <c r="C480" s="19" t="s">
        <v>829</v>
      </c>
      <c r="D480" s="20">
        <v>0</v>
      </c>
      <c r="E480" s="19" t="s">
        <v>855</v>
      </c>
      <c r="F480" s="19" t="s">
        <v>879</v>
      </c>
      <c r="G480" s="19" t="s">
        <v>903</v>
      </c>
      <c r="H480" s="19" t="s">
        <v>908</v>
      </c>
      <c r="I480" s="19" t="s">
        <v>989</v>
      </c>
      <c r="J480" s="19" t="s">
        <v>1004</v>
      </c>
      <c r="K480" s="24">
        <v>46112</v>
      </c>
      <c r="L480" s="19"/>
      <c r="M480" s="19"/>
      <c r="N480" s="21">
        <v>0</v>
      </c>
      <c r="O480" s="23">
        <v>100</v>
      </c>
      <c r="P480" s="19" t="s">
        <v>1014</v>
      </c>
      <c r="Q480" s="20">
        <v>0</v>
      </c>
      <c r="R480" s="19" t="s">
        <v>1021</v>
      </c>
      <c r="S480" s="19"/>
    </row>
    <row r="481" spans="1:19">
      <c r="A481" s="19" t="s">
        <v>480</v>
      </c>
      <c r="B481" s="19" t="s">
        <v>824</v>
      </c>
      <c r="C481" s="19" t="s">
        <v>829</v>
      </c>
      <c r="D481" s="20">
        <v>0</v>
      </c>
      <c r="E481" s="19" t="s">
        <v>840</v>
      </c>
      <c r="F481" s="19" t="s">
        <v>864</v>
      </c>
      <c r="G481" s="19" t="s">
        <v>888</v>
      </c>
      <c r="H481" s="19" t="s">
        <v>925</v>
      </c>
      <c r="I481" s="19" t="s">
        <v>989</v>
      </c>
      <c r="J481" s="19" t="s">
        <v>1004</v>
      </c>
      <c r="K481" s="24">
        <v>46112</v>
      </c>
      <c r="L481" s="19"/>
      <c r="M481" s="19"/>
      <c r="N481" s="21">
        <v>0</v>
      </c>
      <c r="O481" s="23">
        <v>240</v>
      </c>
      <c r="P481" s="19" t="s">
        <v>1014</v>
      </c>
      <c r="Q481" s="20">
        <v>0</v>
      </c>
      <c r="R481" s="19" t="s">
        <v>1022</v>
      </c>
      <c r="S481" s="19"/>
    </row>
    <row r="482" spans="1:19">
      <c r="A482" s="19" t="s">
        <v>481</v>
      </c>
      <c r="B482" s="19" t="s">
        <v>826</v>
      </c>
      <c r="C482" s="19" t="s">
        <v>831</v>
      </c>
      <c r="D482" s="20">
        <v>1</v>
      </c>
      <c r="E482" s="19" t="s">
        <v>834</v>
      </c>
      <c r="F482" s="19" t="s">
        <v>858</v>
      </c>
      <c r="G482" s="19" t="s">
        <v>882</v>
      </c>
      <c r="H482" s="19" t="s">
        <v>953</v>
      </c>
      <c r="I482" s="19" t="s">
        <v>997</v>
      </c>
      <c r="J482" s="19" t="s">
        <v>1005</v>
      </c>
      <c r="K482" s="24">
        <v>46112</v>
      </c>
      <c r="L482" s="26">
        <v>46112.66805555556</v>
      </c>
      <c r="M482" s="26">
        <v>46112.74305555555</v>
      </c>
      <c r="N482" s="21">
        <v>1.8</v>
      </c>
      <c r="O482" s="23">
        <v>1593.03</v>
      </c>
      <c r="P482" s="19" t="s">
        <v>1015</v>
      </c>
      <c r="Q482" s="20">
        <v>0</v>
      </c>
      <c r="R482" s="19" t="s">
        <v>1022</v>
      </c>
      <c r="S482" s="19" t="s">
        <v>1029</v>
      </c>
    </row>
    <row r="483" spans="1:19">
      <c r="A483" s="19" t="s">
        <v>482</v>
      </c>
      <c r="B483" s="19" t="s">
        <v>823</v>
      </c>
      <c r="C483" s="19" t="s">
        <v>828</v>
      </c>
      <c r="D483" s="20">
        <v>0</v>
      </c>
      <c r="E483" s="19" t="s">
        <v>854</v>
      </c>
      <c r="F483" s="19" t="s">
        <v>878</v>
      </c>
      <c r="G483" s="19" t="s">
        <v>902</v>
      </c>
      <c r="H483" s="19" t="s">
        <v>924</v>
      </c>
      <c r="I483" s="19" t="s">
        <v>989</v>
      </c>
      <c r="J483" s="19" t="s">
        <v>1004</v>
      </c>
      <c r="K483" s="24">
        <v>46113</v>
      </c>
      <c r="L483" s="19"/>
      <c r="M483" s="19"/>
      <c r="N483" s="21">
        <v>0</v>
      </c>
      <c r="O483" s="23">
        <v>337.16</v>
      </c>
      <c r="P483" s="19" t="s">
        <v>1015</v>
      </c>
      <c r="Q483" s="20">
        <v>0</v>
      </c>
      <c r="R483" s="19" t="s">
        <v>1023</v>
      </c>
      <c r="S483" s="19"/>
    </row>
    <row r="484" spans="1:19">
      <c r="A484" s="19" t="s">
        <v>483</v>
      </c>
      <c r="B484" s="19" t="s">
        <v>823</v>
      </c>
      <c r="C484" s="19" t="s">
        <v>828</v>
      </c>
      <c r="D484" s="20">
        <v>0</v>
      </c>
      <c r="E484" s="19" t="s">
        <v>851</v>
      </c>
      <c r="F484" s="19" t="s">
        <v>875</v>
      </c>
      <c r="G484" s="19" t="s">
        <v>899</v>
      </c>
      <c r="H484" s="19" t="s">
        <v>917</v>
      </c>
      <c r="I484" s="19" t="s">
        <v>989</v>
      </c>
      <c r="J484" s="19" t="s">
        <v>1004</v>
      </c>
      <c r="K484" s="24">
        <v>46114</v>
      </c>
      <c r="L484" s="19"/>
      <c r="M484" s="19"/>
      <c r="N484" s="21">
        <v>0</v>
      </c>
      <c r="O484" s="23">
        <v>293.52</v>
      </c>
      <c r="P484" s="19" t="s">
        <v>1015</v>
      </c>
      <c r="Q484" s="20">
        <v>0</v>
      </c>
      <c r="R484" s="19" t="s">
        <v>1022</v>
      </c>
      <c r="S484" s="19"/>
    </row>
    <row r="485" spans="1:19">
      <c r="A485" s="19" t="s">
        <v>484</v>
      </c>
      <c r="B485" s="19" t="s">
        <v>823</v>
      </c>
      <c r="C485" s="19" t="s">
        <v>828</v>
      </c>
      <c r="D485" s="20">
        <v>0</v>
      </c>
      <c r="E485" s="19" t="s">
        <v>842</v>
      </c>
      <c r="F485" s="19" t="s">
        <v>866</v>
      </c>
      <c r="G485" s="19" t="s">
        <v>890</v>
      </c>
      <c r="H485" s="19" t="s">
        <v>924</v>
      </c>
      <c r="I485" s="19" t="s">
        <v>989</v>
      </c>
      <c r="J485" s="19" t="s">
        <v>1004</v>
      </c>
      <c r="K485" s="24">
        <v>46115</v>
      </c>
      <c r="L485" s="19"/>
      <c r="M485" s="19"/>
      <c r="N485" s="21">
        <v>0</v>
      </c>
      <c r="O485" s="23">
        <v>895.9</v>
      </c>
      <c r="P485" s="19" t="s">
        <v>1015</v>
      </c>
      <c r="Q485" s="20">
        <v>0</v>
      </c>
      <c r="R485" s="19" t="s">
        <v>1021</v>
      </c>
      <c r="S485" s="19"/>
    </row>
    <row r="486" spans="1:19">
      <c r="A486" s="19" t="s">
        <v>485</v>
      </c>
      <c r="B486" s="19" t="s">
        <v>825</v>
      </c>
      <c r="C486" s="19" t="s">
        <v>830</v>
      </c>
      <c r="D486" s="20">
        <v>1</v>
      </c>
      <c r="E486" s="19" t="s">
        <v>849</v>
      </c>
      <c r="F486" s="19" t="s">
        <v>873</v>
      </c>
      <c r="G486" s="19" t="s">
        <v>897</v>
      </c>
      <c r="H486" s="19" t="s">
        <v>975</v>
      </c>
      <c r="I486" s="19" t="s">
        <v>998</v>
      </c>
      <c r="J486" s="19" t="s">
        <v>1006</v>
      </c>
      <c r="K486" s="24">
        <v>46115</v>
      </c>
      <c r="L486" s="26">
        <v>46115.36666666667</v>
      </c>
      <c r="M486" s="26">
        <v>46115.52916666667</v>
      </c>
      <c r="N486" s="21">
        <v>3.9</v>
      </c>
      <c r="O486" s="23">
        <v>3992.43</v>
      </c>
      <c r="P486" s="19" t="s">
        <v>1014</v>
      </c>
      <c r="Q486" s="20">
        <v>0</v>
      </c>
      <c r="R486" s="19" t="s">
        <v>1023</v>
      </c>
      <c r="S486" s="19"/>
    </row>
    <row r="487" spans="1:19">
      <c r="A487" s="19" t="s">
        <v>486</v>
      </c>
      <c r="B487" s="19" t="s">
        <v>824</v>
      </c>
      <c r="C487" s="19" t="s">
        <v>829</v>
      </c>
      <c r="D487" s="20">
        <v>0</v>
      </c>
      <c r="E487" s="19" t="s">
        <v>846</v>
      </c>
      <c r="F487" s="19" t="s">
        <v>870</v>
      </c>
      <c r="G487" s="19" t="s">
        <v>894</v>
      </c>
      <c r="H487" s="19" t="s">
        <v>925</v>
      </c>
      <c r="I487" s="19" t="s">
        <v>989</v>
      </c>
      <c r="J487" s="19" t="s">
        <v>1004</v>
      </c>
      <c r="K487" s="24">
        <v>46116</v>
      </c>
      <c r="L487" s="19"/>
      <c r="M487" s="19"/>
      <c r="N487" s="21">
        <v>0</v>
      </c>
      <c r="O487" s="23">
        <v>100</v>
      </c>
      <c r="P487" s="19" t="s">
        <v>1015</v>
      </c>
      <c r="Q487" s="20">
        <v>0</v>
      </c>
      <c r="R487" s="19" t="s">
        <v>1021</v>
      </c>
      <c r="S487" s="19"/>
    </row>
    <row r="488" spans="1:19">
      <c r="A488" s="19" t="s">
        <v>487</v>
      </c>
      <c r="B488" s="19" t="s">
        <v>826</v>
      </c>
      <c r="C488" s="19" t="s">
        <v>831</v>
      </c>
      <c r="D488" s="20">
        <v>1</v>
      </c>
      <c r="E488" s="19" t="s">
        <v>839</v>
      </c>
      <c r="F488" s="19" t="s">
        <v>863</v>
      </c>
      <c r="G488" s="19" t="s">
        <v>887</v>
      </c>
      <c r="H488" s="19" t="s">
        <v>942</v>
      </c>
      <c r="I488" s="19" t="s">
        <v>990</v>
      </c>
      <c r="J488" s="19" t="s">
        <v>1006</v>
      </c>
      <c r="K488" s="24">
        <v>46116</v>
      </c>
      <c r="L488" s="26">
        <v>46116.62083333333</v>
      </c>
      <c r="M488" s="26">
        <v>46116.8875</v>
      </c>
      <c r="N488" s="21">
        <v>6.4</v>
      </c>
      <c r="O488" s="23">
        <v>2541.52</v>
      </c>
      <c r="P488" s="19" t="s">
        <v>1015</v>
      </c>
      <c r="Q488" s="20">
        <v>0</v>
      </c>
      <c r="R488" s="19" t="s">
        <v>1022</v>
      </c>
      <c r="S488" s="19"/>
    </row>
    <row r="489" spans="1:19">
      <c r="A489" s="19" t="s">
        <v>488</v>
      </c>
      <c r="B489" s="19" t="s">
        <v>825</v>
      </c>
      <c r="C489" s="19" t="s">
        <v>830</v>
      </c>
      <c r="D489" s="20">
        <v>1</v>
      </c>
      <c r="E489" s="19" t="s">
        <v>856</v>
      </c>
      <c r="F489" s="19" t="s">
        <v>880</v>
      </c>
      <c r="G489" s="19" t="s">
        <v>904</v>
      </c>
      <c r="H489" s="19" t="s">
        <v>976</v>
      </c>
      <c r="I489" s="19" t="s">
        <v>991</v>
      </c>
      <c r="J489" s="19" t="s">
        <v>1005</v>
      </c>
      <c r="K489" s="24">
        <v>46117</v>
      </c>
      <c r="L489" s="26">
        <v>46117.23958333334</v>
      </c>
      <c r="M489" s="26">
        <v>46117.42291666667</v>
      </c>
      <c r="N489" s="21">
        <v>4.4</v>
      </c>
      <c r="O489" s="23">
        <v>1164.64</v>
      </c>
      <c r="P489" s="19" t="s">
        <v>1015</v>
      </c>
      <c r="Q489" s="20">
        <v>0</v>
      </c>
      <c r="R489" s="19" t="s">
        <v>1021</v>
      </c>
      <c r="S489" s="19" t="s">
        <v>1033</v>
      </c>
    </row>
    <row r="490" spans="1:19">
      <c r="A490" s="19" t="s">
        <v>489</v>
      </c>
      <c r="B490" s="19" t="s">
        <v>823</v>
      </c>
      <c r="C490" s="19" t="s">
        <v>828</v>
      </c>
      <c r="D490" s="20">
        <v>0</v>
      </c>
      <c r="E490" s="19" t="s">
        <v>835</v>
      </c>
      <c r="F490" s="19" t="s">
        <v>859</v>
      </c>
      <c r="G490" s="19" t="s">
        <v>883</v>
      </c>
      <c r="H490" s="19" t="s">
        <v>917</v>
      </c>
      <c r="I490" s="19" t="s">
        <v>989</v>
      </c>
      <c r="J490" s="19" t="s">
        <v>1004</v>
      </c>
      <c r="K490" s="24">
        <v>46117</v>
      </c>
      <c r="L490" s="19"/>
      <c r="M490" s="19"/>
      <c r="N490" s="21">
        <v>0</v>
      </c>
      <c r="O490" s="23">
        <v>602.76</v>
      </c>
      <c r="P490" s="19" t="s">
        <v>1014</v>
      </c>
      <c r="Q490" s="20">
        <v>0</v>
      </c>
      <c r="R490" s="19" t="s">
        <v>1023</v>
      </c>
      <c r="S490" s="19"/>
    </row>
    <row r="491" spans="1:19">
      <c r="A491" s="19" t="s">
        <v>490</v>
      </c>
      <c r="B491" s="19" t="s">
        <v>823</v>
      </c>
      <c r="C491" s="19" t="s">
        <v>828</v>
      </c>
      <c r="D491" s="20">
        <v>0</v>
      </c>
      <c r="E491" s="19" t="s">
        <v>849</v>
      </c>
      <c r="F491" s="19" t="s">
        <v>873</v>
      </c>
      <c r="G491" s="19" t="s">
        <v>897</v>
      </c>
      <c r="H491" s="19" t="s">
        <v>906</v>
      </c>
      <c r="I491" s="19" t="s">
        <v>989</v>
      </c>
      <c r="J491" s="19" t="s">
        <v>1004</v>
      </c>
      <c r="K491" s="24">
        <v>46117</v>
      </c>
      <c r="L491" s="19"/>
      <c r="M491" s="19"/>
      <c r="N491" s="21">
        <v>0</v>
      </c>
      <c r="O491" s="23">
        <v>490.61</v>
      </c>
      <c r="P491" s="19" t="s">
        <v>1014</v>
      </c>
      <c r="Q491" s="20">
        <v>0</v>
      </c>
      <c r="R491" s="19" t="s">
        <v>1022</v>
      </c>
      <c r="S491" s="19"/>
    </row>
    <row r="492" spans="1:19">
      <c r="A492" s="19" t="s">
        <v>491</v>
      </c>
      <c r="B492" s="19" t="s">
        <v>824</v>
      </c>
      <c r="C492" s="19" t="s">
        <v>829</v>
      </c>
      <c r="D492" s="20">
        <v>0</v>
      </c>
      <c r="E492" s="19" t="s">
        <v>843</v>
      </c>
      <c r="F492" s="19" t="s">
        <v>867</v>
      </c>
      <c r="G492" s="19" t="s">
        <v>891</v>
      </c>
      <c r="H492" s="19" t="s">
        <v>914</v>
      </c>
      <c r="I492" s="19" t="s">
        <v>989</v>
      </c>
      <c r="J492" s="19" t="s">
        <v>1004</v>
      </c>
      <c r="K492" s="24">
        <v>46117</v>
      </c>
      <c r="L492" s="19"/>
      <c r="M492" s="19"/>
      <c r="N492" s="21">
        <v>0</v>
      </c>
      <c r="O492" s="23">
        <v>88</v>
      </c>
      <c r="P492" s="19" t="s">
        <v>1014</v>
      </c>
      <c r="Q492" s="20">
        <v>0</v>
      </c>
      <c r="R492" s="19" t="s">
        <v>1023</v>
      </c>
      <c r="S492" s="19"/>
    </row>
    <row r="493" spans="1:19">
      <c r="A493" s="19" t="s">
        <v>492</v>
      </c>
      <c r="B493" s="19" t="s">
        <v>824</v>
      </c>
      <c r="C493" s="19" t="s">
        <v>829</v>
      </c>
      <c r="D493" s="20">
        <v>0</v>
      </c>
      <c r="E493" s="19" t="s">
        <v>851</v>
      </c>
      <c r="F493" s="19" t="s">
        <v>875</v>
      </c>
      <c r="G493" s="19" t="s">
        <v>899</v>
      </c>
      <c r="H493" s="19" t="s">
        <v>925</v>
      </c>
      <c r="I493" s="19" t="s">
        <v>989</v>
      </c>
      <c r="J493" s="19" t="s">
        <v>1004</v>
      </c>
      <c r="K493" s="24">
        <v>46117</v>
      </c>
      <c r="L493" s="19"/>
      <c r="M493" s="19"/>
      <c r="N493" s="21">
        <v>0</v>
      </c>
      <c r="O493" s="23">
        <v>180</v>
      </c>
      <c r="P493" s="19" t="s">
        <v>1015</v>
      </c>
      <c r="Q493" s="20">
        <v>0</v>
      </c>
      <c r="R493" s="19" t="s">
        <v>1022</v>
      </c>
      <c r="S493" s="19"/>
    </row>
    <row r="494" spans="1:19">
      <c r="A494" s="19" t="s">
        <v>493</v>
      </c>
      <c r="B494" s="19" t="s">
        <v>823</v>
      </c>
      <c r="C494" s="19" t="s">
        <v>828</v>
      </c>
      <c r="D494" s="20">
        <v>0</v>
      </c>
      <c r="E494" s="19" t="s">
        <v>856</v>
      </c>
      <c r="F494" s="19" t="s">
        <v>880</v>
      </c>
      <c r="G494" s="19" t="s">
        <v>904</v>
      </c>
      <c r="H494" s="19" t="s">
        <v>907</v>
      </c>
      <c r="I494" s="19" t="s">
        <v>989</v>
      </c>
      <c r="J494" s="19" t="s">
        <v>1004</v>
      </c>
      <c r="K494" s="24">
        <v>46118</v>
      </c>
      <c r="L494" s="19"/>
      <c r="M494" s="19"/>
      <c r="N494" s="21">
        <v>0</v>
      </c>
      <c r="O494" s="23">
        <v>117.07</v>
      </c>
      <c r="P494" s="19" t="s">
        <v>1015</v>
      </c>
      <c r="Q494" s="20">
        <v>0</v>
      </c>
      <c r="R494" s="19" t="s">
        <v>1023</v>
      </c>
      <c r="S494" s="19"/>
    </row>
    <row r="495" spans="1:19">
      <c r="A495" s="19" t="s">
        <v>494</v>
      </c>
      <c r="B495" s="19" t="s">
        <v>823</v>
      </c>
      <c r="C495" s="19" t="s">
        <v>828</v>
      </c>
      <c r="D495" s="20">
        <v>0</v>
      </c>
      <c r="E495" s="19" t="s">
        <v>855</v>
      </c>
      <c r="F495" s="19" t="s">
        <v>879</v>
      </c>
      <c r="G495" s="19" t="s">
        <v>903</v>
      </c>
      <c r="H495" s="19" t="s">
        <v>924</v>
      </c>
      <c r="I495" s="19" t="s">
        <v>989</v>
      </c>
      <c r="J495" s="19" t="s">
        <v>1004</v>
      </c>
      <c r="K495" s="24">
        <v>46120</v>
      </c>
      <c r="L495" s="19"/>
      <c r="M495" s="19"/>
      <c r="N495" s="21">
        <v>0</v>
      </c>
      <c r="O495" s="23">
        <v>222.14</v>
      </c>
      <c r="P495" s="19" t="s">
        <v>1014</v>
      </c>
      <c r="Q495" s="20">
        <v>0</v>
      </c>
      <c r="R495" s="19" t="s">
        <v>1022</v>
      </c>
      <c r="S495" s="19"/>
    </row>
    <row r="496" spans="1:19">
      <c r="A496" s="19" t="s">
        <v>495</v>
      </c>
      <c r="B496" s="19" t="s">
        <v>823</v>
      </c>
      <c r="C496" s="19" t="s">
        <v>828</v>
      </c>
      <c r="D496" s="20">
        <v>0</v>
      </c>
      <c r="E496" s="19" t="s">
        <v>836</v>
      </c>
      <c r="F496" s="19" t="s">
        <v>860</v>
      </c>
      <c r="G496" s="19" t="s">
        <v>884</v>
      </c>
      <c r="H496" s="19" t="s">
        <v>909</v>
      </c>
      <c r="I496" s="19" t="s">
        <v>989</v>
      </c>
      <c r="J496" s="19" t="s">
        <v>1004</v>
      </c>
      <c r="K496" s="24">
        <v>46120</v>
      </c>
      <c r="L496" s="19"/>
      <c r="M496" s="19"/>
      <c r="N496" s="21">
        <v>0</v>
      </c>
      <c r="O496" s="23">
        <v>594.73</v>
      </c>
      <c r="P496" s="19" t="s">
        <v>1014</v>
      </c>
      <c r="Q496" s="20">
        <v>0</v>
      </c>
      <c r="R496" s="19" t="s">
        <v>1023</v>
      </c>
      <c r="S496" s="19"/>
    </row>
    <row r="497" spans="1:19">
      <c r="A497" s="19" t="s">
        <v>496</v>
      </c>
      <c r="B497" s="19" t="s">
        <v>823</v>
      </c>
      <c r="C497" s="19" t="s">
        <v>828</v>
      </c>
      <c r="D497" s="20">
        <v>0</v>
      </c>
      <c r="E497" s="19" t="s">
        <v>846</v>
      </c>
      <c r="F497" s="19" t="s">
        <v>870</v>
      </c>
      <c r="G497" s="19" t="s">
        <v>894</v>
      </c>
      <c r="H497" s="19" t="s">
        <v>912</v>
      </c>
      <c r="I497" s="19" t="s">
        <v>989</v>
      </c>
      <c r="J497" s="19" t="s">
        <v>1004</v>
      </c>
      <c r="K497" s="24">
        <v>46121</v>
      </c>
      <c r="L497" s="19"/>
      <c r="M497" s="19"/>
      <c r="N497" s="21">
        <v>0</v>
      </c>
      <c r="O497" s="23">
        <v>308.91</v>
      </c>
      <c r="P497" s="19" t="s">
        <v>1014</v>
      </c>
      <c r="Q497" s="20">
        <v>0</v>
      </c>
      <c r="R497" s="19" t="s">
        <v>1021</v>
      </c>
      <c r="S497" s="19"/>
    </row>
    <row r="498" spans="1:19">
      <c r="A498" s="19" t="s">
        <v>497</v>
      </c>
      <c r="B498" s="19" t="s">
        <v>823</v>
      </c>
      <c r="C498" s="19" t="s">
        <v>828</v>
      </c>
      <c r="D498" s="20">
        <v>0</v>
      </c>
      <c r="E498" s="19" t="s">
        <v>834</v>
      </c>
      <c r="F498" s="19" t="s">
        <v>858</v>
      </c>
      <c r="G498" s="19" t="s">
        <v>882</v>
      </c>
      <c r="H498" s="19" t="s">
        <v>909</v>
      </c>
      <c r="I498" s="19" t="s">
        <v>989</v>
      </c>
      <c r="J498" s="19" t="s">
        <v>1004</v>
      </c>
      <c r="K498" s="24">
        <v>46122</v>
      </c>
      <c r="L498" s="19"/>
      <c r="M498" s="19"/>
      <c r="N498" s="21">
        <v>0</v>
      </c>
      <c r="O498" s="23">
        <v>290.48</v>
      </c>
      <c r="P498" s="19" t="s">
        <v>1015</v>
      </c>
      <c r="Q498" s="20">
        <v>0</v>
      </c>
      <c r="R498" s="19" t="s">
        <v>1022</v>
      </c>
      <c r="S498" s="19"/>
    </row>
    <row r="499" spans="1:19">
      <c r="A499" s="19" t="s">
        <v>498</v>
      </c>
      <c r="B499" s="19" t="s">
        <v>824</v>
      </c>
      <c r="C499" s="19" t="s">
        <v>829</v>
      </c>
      <c r="D499" s="20">
        <v>0</v>
      </c>
      <c r="E499" s="19" t="s">
        <v>852</v>
      </c>
      <c r="F499" s="19" t="s">
        <v>876</v>
      </c>
      <c r="G499" s="19" t="s">
        <v>900</v>
      </c>
      <c r="H499" s="19" t="s">
        <v>914</v>
      </c>
      <c r="I499" s="19" t="s">
        <v>989</v>
      </c>
      <c r="J499" s="19" t="s">
        <v>1004</v>
      </c>
      <c r="K499" s="24">
        <v>46122</v>
      </c>
      <c r="L499" s="19"/>
      <c r="M499" s="19"/>
      <c r="N499" s="21">
        <v>0</v>
      </c>
      <c r="O499" s="23">
        <v>280</v>
      </c>
      <c r="P499" s="19" t="s">
        <v>1015</v>
      </c>
      <c r="Q499" s="20">
        <v>0</v>
      </c>
      <c r="R499" s="19" t="s">
        <v>1022</v>
      </c>
      <c r="S499" s="19"/>
    </row>
    <row r="500" spans="1:19">
      <c r="A500" s="19" t="s">
        <v>499</v>
      </c>
      <c r="B500" s="19" t="s">
        <v>825</v>
      </c>
      <c r="C500" s="19" t="s">
        <v>830</v>
      </c>
      <c r="D500" s="20">
        <v>1</v>
      </c>
      <c r="E500" s="19" t="s">
        <v>850</v>
      </c>
      <c r="F500" s="19" t="s">
        <v>874</v>
      </c>
      <c r="G500" s="19" t="s">
        <v>898</v>
      </c>
      <c r="H500" s="19" t="s">
        <v>926</v>
      </c>
      <c r="I500" s="19" t="s">
        <v>997</v>
      </c>
      <c r="J500" s="19" t="s">
        <v>1006</v>
      </c>
      <c r="K500" s="24">
        <v>46122</v>
      </c>
      <c r="L500" s="26">
        <v>46122.74930555555</v>
      </c>
      <c r="M500" s="26">
        <v>46122.84930555556</v>
      </c>
      <c r="N500" s="21">
        <v>2.4</v>
      </c>
      <c r="O500" s="23">
        <v>5290.8</v>
      </c>
      <c r="P500" s="19" t="s">
        <v>1015</v>
      </c>
      <c r="Q500" s="20">
        <v>0</v>
      </c>
      <c r="R500" s="19" t="s">
        <v>1022</v>
      </c>
      <c r="S500" s="19"/>
    </row>
    <row r="501" spans="1:19">
      <c r="A501" s="19" t="s">
        <v>500</v>
      </c>
      <c r="B501" s="19" t="s">
        <v>823</v>
      </c>
      <c r="C501" s="19" t="s">
        <v>828</v>
      </c>
      <c r="D501" s="20">
        <v>0</v>
      </c>
      <c r="E501" s="19" t="s">
        <v>853</v>
      </c>
      <c r="F501" s="19" t="s">
        <v>877</v>
      </c>
      <c r="G501" s="19" t="s">
        <v>901</v>
      </c>
      <c r="H501" s="19" t="s">
        <v>911</v>
      </c>
      <c r="I501" s="19" t="s">
        <v>989</v>
      </c>
      <c r="J501" s="19" t="s">
        <v>1004</v>
      </c>
      <c r="K501" s="24">
        <v>46123</v>
      </c>
      <c r="L501" s="19"/>
      <c r="M501" s="19"/>
      <c r="N501" s="21">
        <v>0</v>
      </c>
      <c r="O501" s="23">
        <v>434.91</v>
      </c>
      <c r="P501" s="19" t="s">
        <v>1015</v>
      </c>
      <c r="Q501" s="20">
        <v>0</v>
      </c>
      <c r="R501" s="19" t="s">
        <v>1022</v>
      </c>
      <c r="S501" s="19"/>
    </row>
    <row r="502" spans="1:19">
      <c r="A502" s="19" t="s">
        <v>501</v>
      </c>
      <c r="B502" s="19" t="s">
        <v>824</v>
      </c>
      <c r="C502" s="19" t="s">
        <v>829</v>
      </c>
      <c r="D502" s="20">
        <v>0</v>
      </c>
      <c r="E502" s="19" t="s">
        <v>850</v>
      </c>
      <c r="F502" s="19" t="s">
        <v>874</v>
      </c>
      <c r="G502" s="19" t="s">
        <v>898</v>
      </c>
      <c r="H502" s="19" t="s">
        <v>908</v>
      </c>
      <c r="I502" s="19" t="s">
        <v>989</v>
      </c>
      <c r="J502" s="19" t="s">
        <v>1004</v>
      </c>
      <c r="K502" s="24">
        <v>46124</v>
      </c>
      <c r="L502" s="19"/>
      <c r="M502" s="19"/>
      <c r="N502" s="21">
        <v>0</v>
      </c>
      <c r="O502" s="23">
        <v>100</v>
      </c>
      <c r="P502" s="19" t="s">
        <v>1015</v>
      </c>
      <c r="Q502" s="20">
        <v>0</v>
      </c>
      <c r="R502" s="19" t="s">
        <v>1021</v>
      </c>
      <c r="S502" s="19"/>
    </row>
    <row r="503" spans="1:19">
      <c r="A503" s="19" t="s">
        <v>502</v>
      </c>
      <c r="B503" s="19" t="s">
        <v>825</v>
      </c>
      <c r="C503" s="19" t="s">
        <v>830</v>
      </c>
      <c r="D503" s="20">
        <v>1</v>
      </c>
      <c r="E503" s="19" t="s">
        <v>855</v>
      </c>
      <c r="F503" s="19" t="s">
        <v>879</v>
      </c>
      <c r="G503" s="19" t="s">
        <v>903</v>
      </c>
      <c r="H503" s="19" t="s">
        <v>934</v>
      </c>
      <c r="I503" s="19" t="s">
        <v>993</v>
      </c>
      <c r="J503" s="19" t="s">
        <v>1005</v>
      </c>
      <c r="K503" s="24">
        <v>46125</v>
      </c>
      <c r="L503" s="26">
        <v>46125.01736111111</v>
      </c>
      <c r="M503" s="26">
        <v>46125.34652777778</v>
      </c>
      <c r="N503" s="21">
        <v>0</v>
      </c>
      <c r="O503" s="23">
        <v>3817.08</v>
      </c>
      <c r="P503" s="19" t="s">
        <v>1014</v>
      </c>
      <c r="Q503" s="20">
        <v>0</v>
      </c>
      <c r="R503" s="19" t="s">
        <v>1021</v>
      </c>
      <c r="S503" s="19" t="s">
        <v>1027</v>
      </c>
    </row>
    <row r="504" spans="1:19">
      <c r="A504" s="19" t="s">
        <v>503</v>
      </c>
      <c r="B504" s="19" t="s">
        <v>823</v>
      </c>
      <c r="C504" s="19" t="s">
        <v>828</v>
      </c>
      <c r="D504" s="20">
        <v>0</v>
      </c>
      <c r="E504" s="19" t="s">
        <v>844</v>
      </c>
      <c r="F504" s="19" t="s">
        <v>868</v>
      </c>
      <c r="G504" s="19" t="s">
        <v>892</v>
      </c>
      <c r="H504" s="19" t="s">
        <v>912</v>
      </c>
      <c r="I504" s="19" t="s">
        <v>989</v>
      </c>
      <c r="J504" s="19" t="s">
        <v>1004</v>
      </c>
      <c r="K504" s="24">
        <v>46126</v>
      </c>
      <c r="L504" s="19"/>
      <c r="M504" s="19"/>
      <c r="N504" s="21">
        <v>0</v>
      </c>
      <c r="O504" s="23">
        <v>465.25</v>
      </c>
      <c r="P504" s="19" t="s">
        <v>1014</v>
      </c>
      <c r="Q504" s="20">
        <v>0</v>
      </c>
      <c r="R504" s="19" t="s">
        <v>1023</v>
      </c>
      <c r="S504" s="19"/>
    </row>
    <row r="505" spans="1:19">
      <c r="A505" s="19" t="s">
        <v>504</v>
      </c>
      <c r="B505" s="19" t="s">
        <v>823</v>
      </c>
      <c r="C505" s="19" t="s">
        <v>828</v>
      </c>
      <c r="D505" s="20">
        <v>0</v>
      </c>
      <c r="E505" s="19" t="s">
        <v>839</v>
      </c>
      <c r="F505" s="19" t="s">
        <v>863</v>
      </c>
      <c r="G505" s="19" t="s">
        <v>887</v>
      </c>
      <c r="H505" s="19" t="s">
        <v>917</v>
      </c>
      <c r="I505" s="19" t="s">
        <v>989</v>
      </c>
      <c r="J505" s="19" t="s">
        <v>1004</v>
      </c>
      <c r="K505" s="24">
        <v>46126</v>
      </c>
      <c r="L505" s="19"/>
      <c r="M505" s="19"/>
      <c r="N505" s="21">
        <v>0</v>
      </c>
      <c r="O505" s="23">
        <v>427.37</v>
      </c>
      <c r="P505" s="19" t="s">
        <v>1016</v>
      </c>
      <c r="Q505" s="20">
        <v>1</v>
      </c>
      <c r="R505" s="19" t="s">
        <v>1021</v>
      </c>
      <c r="S505" s="19"/>
    </row>
    <row r="506" spans="1:19">
      <c r="A506" s="19" t="s">
        <v>505</v>
      </c>
      <c r="B506" s="19" t="s">
        <v>824</v>
      </c>
      <c r="C506" s="19" t="s">
        <v>829</v>
      </c>
      <c r="D506" s="20">
        <v>0</v>
      </c>
      <c r="E506" s="19" t="s">
        <v>854</v>
      </c>
      <c r="F506" s="19" t="s">
        <v>878</v>
      </c>
      <c r="G506" s="19" t="s">
        <v>902</v>
      </c>
      <c r="H506" s="19" t="s">
        <v>908</v>
      </c>
      <c r="I506" s="19" t="s">
        <v>989</v>
      </c>
      <c r="J506" s="19" t="s">
        <v>1004</v>
      </c>
      <c r="K506" s="24">
        <v>46126</v>
      </c>
      <c r="L506" s="19"/>
      <c r="M506" s="19"/>
      <c r="N506" s="21">
        <v>0</v>
      </c>
      <c r="O506" s="23">
        <v>120</v>
      </c>
      <c r="P506" s="19" t="s">
        <v>1015</v>
      </c>
      <c r="Q506" s="20">
        <v>0</v>
      </c>
      <c r="R506" s="19" t="s">
        <v>1022</v>
      </c>
      <c r="S506" s="19"/>
    </row>
    <row r="507" spans="1:19">
      <c r="A507" s="19" t="s">
        <v>506</v>
      </c>
      <c r="B507" s="19" t="s">
        <v>826</v>
      </c>
      <c r="C507" s="19" t="s">
        <v>831</v>
      </c>
      <c r="D507" s="20">
        <v>1</v>
      </c>
      <c r="E507" s="19" t="s">
        <v>845</v>
      </c>
      <c r="F507" s="19" t="s">
        <v>869</v>
      </c>
      <c r="G507" s="19" t="s">
        <v>893</v>
      </c>
      <c r="H507" s="19" t="s">
        <v>939</v>
      </c>
      <c r="I507" s="19" t="s">
        <v>993</v>
      </c>
      <c r="J507" s="19" t="s">
        <v>1005</v>
      </c>
      <c r="K507" s="24">
        <v>46126</v>
      </c>
      <c r="L507" s="26">
        <v>46126.40277777778</v>
      </c>
      <c r="M507" s="26">
        <v>46126.66527777778</v>
      </c>
      <c r="N507" s="21">
        <v>6.3</v>
      </c>
      <c r="O507" s="23">
        <v>9291.639999999999</v>
      </c>
      <c r="P507" s="19" t="s">
        <v>1014</v>
      </c>
      <c r="Q507" s="20">
        <v>0</v>
      </c>
      <c r="R507" s="19" t="s">
        <v>1024</v>
      </c>
      <c r="S507" s="19" t="s">
        <v>1027</v>
      </c>
    </row>
    <row r="508" spans="1:19">
      <c r="A508" s="19" t="s">
        <v>507</v>
      </c>
      <c r="B508" s="19" t="s">
        <v>823</v>
      </c>
      <c r="C508" s="19" t="s">
        <v>828</v>
      </c>
      <c r="D508" s="20">
        <v>0</v>
      </c>
      <c r="E508" s="19" t="s">
        <v>837</v>
      </c>
      <c r="F508" s="19" t="s">
        <v>861</v>
      </c>
      <c r="G508" s="19" t="s">
        <v>885</v>
      </c>
      <c r="H508" s="19" t="s">
        <v>907</v>
      </c>
      <c r="I508" s="19" t="s">
        <v>989</v>
      </c>
      <c r="J508" s="19" t="s">
        <v>1004</v>
      </c>
      <c r="K508" s="24">
        <v>46127</v>
      </c>
      <c r="L508" s="19"/>
      <c r="M508" s="19"/>
      <c r="N508" s="21">
        <v>0</v>
      </c>
      <c r="O508" s="23">
        <v>766.4400000000001</v>
      </c>
      <c r="P508" s="19" t="s">
        <v>1015</v>
      </c>
      <c r="Q508" s="20">
        <v>0</v>
      </c>
      <c r="R508" s="19" t="s">
        <v>1022</v>
      </c>
      <c r="S508" s="19"/>
    </row>
    <row r="509" spans="1:19">
      <c r="A509" s="19" t="s">
        <v>508</v>
      </c>
      <c r="B509" s="19" t="s">
        <v>823</v>
      </c>
      <c r="C509" s="19" t="s">
        <v>828</v>
      </c>
      <c r="D509" s="20">
        <v>0</v>
      </c>
      <c r="E509" s="19" t="s">
        <v>841</v>
      </c>
      <c r="F509" s="19" t="s">
        <v>865</v>
      </c>
      <c r="G509" s="19" t="s">
        <v>889</v>
      </c>
      <c r="H509" s="19" t="s">
        <v>924</v>
      </c>
      <c r="I509" s="19" t="s">
        <v>989</v>
      </c>
      <c r="J509" s="19" t="s">
        <v>1004</v>
      </c>
      <c r="K509" s="24">
        <v>46127</v>
      </c>
      <c r="L509" s="19"/>
      <c r="M509" s="19"/>
      <c r="N509" s="21">
        <v>0</v>
      </c>
      <c r="O509" s="23">
        <v>1332.16</v>
      </c>
      <c r="P509" s="19" t="s">
        <v>1014</v>
      </c>
      <c r="Q509" s="20">
        <v>0</v>
      </c>
      <c r="R509" s="19" t="s">
        <v>1021</v>
      </c>
      <c r="S509" s="19"/>
    </row>
    <row r="510" spans="1:19">
      <c r="A510" s="19" t="s">
        <v>509</v>
      </c>
      <c r="B510" s="19" t="s">
        <v>823</v>
      </c>
      <c r="C510" s="19" t="s">
        <v>828</v>
      </c>
      <c r="D510" s="20">
        <v>0</v>
      </c>
      <c r="E510" s="19" t="s">
        <v>843</v>
      </c>
      <c r="F510" s="19" t="s">
        <v>867</v>
      </c>
      <c r="G510" s="19" t="s">
        <v>891</v>
      </c>
      <c r="H510" s="19" t="s">
        <v>909</v>
      </c>
      <c r="I510" s="19" t="s">
        <v>989</v>
      </c>
      <c r="J510" s="19" t="s">
        <v>1004</v>
      </c>
      <c r="K510" s="24">
        <v>46127</v>
      </c>
      <c r="L510" s="19"/>
      <c r="M510" s="19"/>
      <c r="N510" s="21">
        <v>0</v>
      </c>
      <c r="O510" s="23">
        <v>228.89</v>
      </c>
      <c r="P510" s="19" t="s">
        <v>1015</v>
      </c>
      <c r="Q510" s="20">
        <v>0</v>
      </c>
      <c r="R510" s="19" t="s">
        <v>1021</v>
      </c>
      <c r="S510" s="19"/>
    </row>
    <row r="511" spans="1:19">
      <c r="A511" s="19" t="s">
        <v>510</v>
      </c>
      <c r="B511" s="19" t="s">
        <v>824</v>
      </c>
      <c r="C511" s="19" t="s">
        <v>829</v>
      </c>
      <c r="D511" s="20">
        <v>0</v>
      </c>
      <c r="E511" s="19" t="s">
        <v>849</v>
      </c>
      <c r="F511" s="19" t="s">
        <v>873</v>
      </c>
      <c r="G511" s="19" t="s">
        <v>897</v>
      </c>
      <c r="H511" s="19" t="s">
        <v>925</v>
      </c>
      <c r="I511" s="19" t="s">
        <v>989</v>
      </c>
      <c r="J511" s="19" t="s">
        <v>1004</v>
      </c>
      <c r="K511" s="24">
        <v>46127</v>
      </c>
      <c r="L511" s="19"/>
      <c r="M511" s="19"/>
      <c r="N511" s="21">
        <v>0</v>
      </c>
      <c r="O511" s="23">
        <v>320</v>
      </c>
      <c r="P511" s="19" t="s">
        <v>1015</v>
      </c>
      <c r="Q511" s="20">
        <v>0</v>
      </c>
      <c r="R511" s="19" t="s">
        <v>1021</v>
      </c>
      <c r="S511" s="19"/>
    </row>
    <row r="512" spans="1:19">
      <c r="A512" s="19" t="s">
        <v>511</v>
      </c>
      <c r="B512" s="19" t="s">
        <v>825</v>
      </c>
      <c r="C512" s="19" t="s">
        <v>830</v>
      </c>
      <c r="D512" s="20">
        <v>1</v>
      </c>
      <c r="E512" s="19" t="s">
        <v>834</v>
      </c>
      <c r="F512" s="19" t="s">
        <v>858</v>
      </c>
      <c r="G512" s="19" t="s">
        <v>882</v>
      </c>
      <c r="H512" s="19" t="s">
        <v>972</v>
      </c>
      <c r="I512" s="19" t="s">
        <v>996</v>
      </c>
      <c r="J512" s="19" t="s">
        <v>1005</v>
      </c>
      <c r="K512" s="24">
        <v>46127</v>
      </c>
      <c r="L512" s="26">
        <v>46127.39722222222</v>
      </c>
      <c r="M512" s="26">
        <v>46127.68055555555</v>
      </c>
      <c r="N512" s="21">
        <v>0</v>
      </c>
      <c r="O512" s="23">
        <v>3934</v>
      </c>
      <c r="P512" s="19" t="s">
        <v>1014</v>
      </c>
      <c r="Q512" s="20">
        <v>0</v>
      </c>
      <c r="R512" s="19" t="s">
        <v>1022</v>
      </c>
      <c r="S512" s="19" t="s">
        <v>1028</v>
      </c>
    </row>
    <row r="513" spans="1:19">
      <c r="A513" s="19" t="s">
        <v>512</v>
      </c>
      <c r="B513" s="19" t="s">
        <v>825</v>
      </c>
      <c r="C513" s="19" t="s">
        <v>830</v>
      </c>
      <c r="D513" s="20">
        <v>1</v>
      </c>
      <c r="E513" s="19" t="s">
        <v>847</v>
      </c>
      <c r="F513" s="19" t="s">
        <v>871</v>
      </c>
      <c r="G513" s="19" t="s">
        <v>895</v>
      </c>
      <c r="H513" s="19" t="s">
        <v>969</v>
      </c>
      <c r="I513" s="19" t="s">
        <v>1002</v>
      </c>
      <c r="J513" s="19" t="s">
        <v>1006</v>
      </c>
      <c r="K513" s="24">
        <v>46127</v>
      </c>
      <c r="L513" s="26">
        <v>46127.40208333333</v>
      </c>
      <c r="M513" s="26">
        <v>46127.72708333333</v>
      </c>
      <c r="N513" s="21">
        <v>7.8</v>
      </c>
      <c r="O513" s="23">
        <v>1501.2</v>
      </c>
      <c r="P513" s="19" t="s">
        <v>1014</v>
      </c>
      <c r="Q513" s="20">
        <v>0</v>
      </c>
      <c r="R513" s="19" t="s">
        <v>1022</v>
      </c>
      <c r="S513" s="19"/>
    </row>
    <row r="514" spans="1:19">
      <c r="A514" s="19" t="s">
        <v>513</v>
      </c>
      <c r="B514" s="19" t="s">
        <v>823</v>
      </c>
      <c r="C514" s="19" t="s">
        <v>828</v>
      </c>
      <c r="D514" s="20">
        <v>0</v>
      </c>
      <c r="E514" s="19" t="s">
        <v>847</v>
      </c>
      <c r="F514" s="19" t="s">
        <v>871</v>
      </c>
      <c r="G514" s="19" t="s">
        <v>895</v>
      </c>
      <c r="H514" s="19" t="s">
        <v>907</v>
      </c>
      <c r="I514" s="19" t="s">
        <v>989</v>
      </c>
      <c r="J514" s="19" t="s">
        <v>1004</v>
      </c>
      <c r="K514" s="24">
        <v>46128</v>
      </c>
      <c r="L514" s="19"/>
      <c r="M514" s="19"/>
      <c r="N514" s="21">
        <v>0</v>
      </c>
      <c r="O514" s="23">
        <v>582.08</v>
      </c>
      <c r="P514" s="19" t="s">
        <v>1015</v>
      </c>
      <c r="Q514" s="20">
        <v>0</v>
      </c>
      <c r="R514" s="19" t="s">
        <v>1022</v>
      </c>
      <c r="S514" s="19"/>
    </row>
    <row r="515" spans="1:19">
      <c r="A515" s="19" t="s">
        <v>514</v>
      </c>
      <c r="B515" s="19" t="s">
        <v>823</v>
      </c>
      <c r="C515" s="19" t="s">
        <v>828</v>
      </c>
      <c r="D515" s="20">
        <v>0</v>
      </c>
      <c r="E515" s="19" t="s">
        <v>852</v>
      </c>
      <c r="F515" s="19" t="s">
        <v>876</v>
      </c>
      <c r="G515" s="19" t="s">
        <v>900</v>
      </c>
      <c r="H515" s="19" t="s">
        <v>924</v>
      </c>
      <c r="I515" s="19" t="s">
        <v>989</v>
      </c>
      <c r="J515" s="19" t="s">
        <v>1004</v>
      </c>
      <c r="K515" s="24">
        <v>46128</v>
      </c>
      <c r="L515" s="19"/>
      <c r="M515" s="19"/>
      <c r="N515" s="21">
        <v>0</v>
      </c>
      <c r="O515" s="23">
        <v>905.36</v>
      </c>
      <c r="P515" s="19" t="s">
        <v>1015</v>
      </c>
      <c r="Q515" s="20">
        <v>0</v>
      </c>
      <c r="R515" s="19" t="s">
        <v>1023</v>
      </c>
      <c r="S515" s="19"/>
    </row>
    <row r="516" spans="1:19">
      <c r="A516" s="19" t="s">
        <v>515</v>
      </c>
      <c r="B516" s="19" t="s">
        <v>823</v>
      </c>
      <c r="C516" s="19" t="s">
        <v>828</v>
      </c>
      <c r="D516" s="20">
        <v>0</v>
      </c>
      <c r="E516" s="19" t="s">
        <v>845</v>
      </c>
      <c r="F516" s="19" t="s">
        <v>869</v>
      </c>
      <c r="G516" s="19" t="s">
        <v>893</v>
      </c>
      <c r="H516" s="19" t="s">
        <v>906</v>
      </c>
      <c r="I516" s="19" t="s">
        <v>989</v>
      </c>
      <c r="J516" s="19" t="s">
        <v>1004</v>
      </c>
      <c r="K516" s="24">
        <v>46129</v>
      </c>
      <c r="L516" s="19"/>
      <c r="M516" s="19"/>
      <c r="N516" s="21">
        <v>0</v>
      </c>
      <c r="O516" s="23">
        <v>1029.43</v>
      </c>
      <c r="P516" s="19" t="s">
        <v>1015</v>
      </c>
      <c r="Q516" s="20">
        <v>0</v>
      </c>
      <c r="R516" s="19" t="s">
        <v>1021</v>
      </c>
      <c r="S516" s="19"/>
    </row>
    <row r="517" spans="1:19">
      <c r="A517" s="19" t="s">
        <v>516</v>
      </c>
      <c r="B517" s="19" t="s">
        <v>823</v>
      </c>
      <c r="C517" s="19" t="s">
        <v>828</v>
      </c>
      <c r="D517" s="20">
        <v>0</v>
      </c>
      <c r="E517" s="19" t="s">
        <v>848</v>
      </c>
      <c r="F517" s="19" t="s">
        <v>872</v>
      </c>
      <c r="G517" s="19" t="s">
        <v>896</v>
      </c>
      <c r="H517" s="19" t="s">
        <v>909</v>
      </c>
      <c r="I517" s="19" t="s">
        <v>989</v>
      </c>
      <c r="J517" s="19" t="s">
        <v>1004</v>
      </c>
      <c r="K517" s="24">
        <v>46129</v>
      </c>
      <c r="L517" s="19"/>
      <c r="M517" s="19"/>
      <c r="N517" s="21">
        <v>0</v>
      </c>
      <c r="O517" s="23">
        <v>1481.12</v>
      </c>
      <c r="P517" s="19" t="s">
        <v>1015</v>
      </c>
      <c r="Q517" s="20">
        <v>0</v>
      </c>
      <c r="R517" s="19" t="s">
        <v>1021</v>
      </c>
      <c r="S517" s="19"/>
    </row>
    <row r="518" spans="1:19">
      <c r="A518" s="19" t="s">
        <v>517</v>
      </c>
      <c r="B518" s="19" t="s">
        <v>823</v>
      </c>
      <c r="C518" s="19" t="s">
        <v>828</v>
      </c>
      <c r="D518" s="20">
        <v>0</v>
      </c>
      <c r="E518" s="19" t="s">
        <v>842</v>
      </c>
      <c r="F518" s="19" t="s">
        <v>866</v>
      </c>
      <c r="G518" s="19" t="s">
        <v>890</v>
      </c>
      <c r="H518" s="19" t="s">
        <v>909</v>
      </c>
      <c r="I518" s="19" t="s">
        <v>989</v>
      </c>
      <c r="J518" s="19" t="s">
        <v>1004</v>
      </c>
      <c r="K518" s="24">
        <v>46129</v>
      </c>
      <c r="L518" s="19"/>
      <c r="M518" s="19"/>
      <c r="N518" s="21">
        <v>0</v>
      </c>
      <c r="O518" s="23">
        <v>974.84</v>
      </c>
      <c r="P518" s="19" t="s">
        <v>1014</v>
      </c>
      <c r="Q518" s="20">
        <v>0</v>
      </c>
      <c r="R518" s="19" t="s">
        <v>1023</v>
      </c>
      <c r="S518" s="19"/>
    </row>
    <row r="519" spans="1:19">
      <c r="A519" s="19" t="s">
        <v>518</v>
      </c>
      <c r="B519" s="19" t="s">
        <v>823</v>
      </c>
      <c r="C519" s="19" t="s">
        <v>828</v>
      </c>
      <c r="D519" s="20">
        <v>0</v>
      </c>
      <c r="E519" s="19" t="s">
        <v>850</v>
      </c>
      <c r="F519" s="19" t="s">
        <v>874</v>
      </c>
      <c r="G519" s="19" t="s">
        <v>898</v>
      </c>
      <c r="H519" s="19" t="s">
        <v>909</v>
      </c>
      <c r="I519" s="19" t="s">
        <v>989</v>
      </c>
      <c r="J519" s="19" t="s">
        <v>1004</v>
      </c>
      <c r="K519" s="24">
        <v>46130</v>
      </c>
      <c r="L519" s="19"/>
      <c r="M519" s="19"/>
      <c r="N519" s="21">
        <v>0</v>
      </c>
      <c r="O519" s="23">
        <v>386.32</v>
      </c>
      <c r="P519" s="19" t="s">
        <v>1015</v>
      </c>
      <c r="Q519" s="20">
        <v>0</v>
      </c>
      <c r="R519" s="19" t="s">
        <v>1022</v>
      </c>
      <c r="S519" s="19"/>
    </row>
    <row r="520" spans="1:19">
      <c r="A520" s="19" t="s">
        <v>519</v>
      </c>
      <c r="B520" s="19" t="s">
        <v>823</v>
      </c>
      <c r="C520" s="19" t="s">
        <v>828</v>
      </c>
      <c r="D520" s="20">
        <v>0</v>
      </c>
      <c r="E520" s="19" t="s">
        <v>838</v>
      </c>
      <c r="F520" s="19" t="s">
        <v>862</v>
      </c>
      <c r="G520" s="19" t="s">
        <v>886</v>
      </c>
      <c r="H520" s="19" t="s">
        <v>907</v>
      </c>
      <c r="I520" s="19" t="s">
        <v>989</v>
      </c>
      <c r="J520" s="19" t="s">
        <v>1004</v>
      </c>
      <c r="K520" s="24">
        <v>46131</v>
      </c>
      <c r="L520" s="19"/>
      <c r="M520" s="19"/>
      <c r="N520" s="21">
        <v>0</v>
      </c>
      <c r="O520" s="23">
        <v>275.11</v>
      </c>
      <c r="P520" s="19" t="s">
        <v>1014</v>
      </c>
      <c r="Q520" s="20">
        <v>0</v>
      </c>
      <c r="R520" s="19" t="s">
        <v>1023</v>
      </c>
      <c r="S520" s="19"/>
    </row>
    <row r="521" spans="1:19">
      <c r="A521" s="19" t="s">
        <v>520</v>
      </c>
      <c r="B521" s="19" t="s">
        <v>823</v>
      </c>
      <c r="C521" s="19" t="s">
        <v>828</v>
      </c>
      <c r="D521" s="20">
        <v>0</v>
      </c>
      <c r="E521" s="19" t="s">
        <v>851</v>
      </c>
      <c r="F521" s="19" t="s">
        <v>875</v>
      </c>
      <c r="G521" s="19" t="s">
        <v>899</v>
      </c>
      <c r="H521" s="19" t="s">
        <v>924</v>
      </c>
      <c r="I521" s="19" t="s">
        <v>989</v>
      </c>
      <c r="J521" s="19" t="s">
        <v>1004</v>
      </c>
      <c r="K521" s="24">
        <v>46131</v>
      </c>
      <c r="L521" s="19"/>
      <c r="M521" s="19"/>
      <c r="N521" s="21">
        <v>0</v>
      </c>
      <c r="O521" s="23">
        <v>724.74</v>
      </c>
      <c r="P521" s="19" t="s">
        <v>1014</v>
      </c>
      <c r="Q521" s="20">
        <v>0</v>
      </c>
      <c r="R521" s="19" t="s">
        <v>1023</v>
      </c>
      <c r="S521" s="19"/>
    </row>
    <row r="522" spans="1:19">
      <c r="A522" s="19" t="s">
        <v>521</v>
      </c>
      <c r="B522" s="19" t="s">
        <v>824</v>
      </c>
      <c r="C522" s="19" t="s">
        <v>829</v>
      </c>
      <c r="D522" s="20">
        <v>0</v>
      </c>
      <c r="E522" s="19" t="s">
        <v>848</v>
      </c>
      <c r="F522" s="19" t="s">
        <v>872</v>
      </c>
      <c r="G522" s="19" t="s">
        <v>896</v>
      </c>
      <c r="H522" s="19" t="s">
        <v>908</v>
      </c>
      <c r="I522" s="19" t="s">
        <v>989</v>
      </c>
      <c r="J522" s="19" t="s">
        <v>1004</v>
      </c>
      <c r="K522" s="24">
        <v>46133</v>
      </c>
      <c r="L522" s="19"/>
      <c r="M522" s="19"/>
      <c r="N522" s="21">
        <v>0</v>
      </c>
      <c r="O522" s="23">
        <v>600</v>
      </c>
      <c r="P522" s="19" t="s">
        <v>1014</v>
      </c>
      <c r="Q522" s="20">
        <v>0</v>
      </c>
      <c r="R522" s="19" t="s">
        <v>1021</v>
      </c>
      <c r="S522" s="19"/>
    </row>
    <row r="523" spans="1:19">
      <c r="A523" s="19" t="s">
        <v>522</v>
      </c>
      <c r="B523" s="19" t="s">
        <v>825</v>
      </c>
      <c r="C523" s="19" t="s">
        <v>830</v>
      </c>
      <c r="D523" s="20">
        <v>1</v>
      </c>
      <c r="E523" s="19" t="s">
        <v>839</v>
      </c>
      <c r="F523" s="19" t="s">
        <v>863</v>
      </c>
      <c r="G523" s="19" t="s">
        <v>887</v>
      </c>
      <c r="H523" s="19" t="s">
        <v>931</v>
      </c>
      <c r="I523" s="19" t="s">
        <v>993</v>
      </c>
      <c r="J523" s="19" t="s">
        <v>1006</v>
      </c>
      <c r="K523" s="24">
        <v>46133</v>
      </c>
      <c r="L523" s="26">
        <v>46133.44305555556</v>
      </c>
      <c r="M523" s="26">
        <v>46133.74305555555</v>
      </c>
      <c r="N523" s="21">
        <v>7.2</v>
      </c>
      <c r="O523" s="23">
        <v>4913.59</v>
      </c>
      <c r="P523" s="19" t="s">
        <v>1014</v>
      </c>
      <c r="Q523" s="20">
        <v>0</v>
      </c>
      <c r="R523" s="19" t="s">
        <v>1023</v>
      </c>
      <c r="S523" s="19"/>
    </row>
    <row r="524" spans="1:19">
      <c r="A524" s="19" t="s">
        <v>523</v>
      </c>
      <c r="B524" s="19" t="s">
        <v>824</v>
      </c>
      <c r="C524" s="19" t="s">
        <v>829</v>
      </c>
      <c r="D524" s="20">
        <v>0</v>
      </c>
      <c r="E524" s="19" t="s">
        <v>856</v>
      </c>
      <c r="F524" s="19" t="s">
        <v>880</v>
      </c>
      <c r="G524" s="19" t="s">
        <v>904</v>
      </c>
      <c r="H524" s="19" t="s">
        <v>914</v>
      </c>
      <c r="I524" s="19" t="s">
        <v>989</v>
      </c>
      <c r="J524" s="19" t="s">
        <v>1004</v>
      </c>
      <c r="K524" s="24">
        <v>46135</v>
      </c>
      <c r="L524" s="19"/>
      <c r="M524" s="19"/>
      <c r="N524" s="21">
        <v>0</v>
      </c>
      <c r="O524" s="23">
        <v>48</v>
      </c>
      <c r="P524" s="19" t="s">
        <v>1014</v>
      </c>
      <c r="Q524" s="20">
        <v>0</v>
      </c>
      <c r="R524" s="19" t="s">
        <v>1022</v>
      </c>
      <c r="S524" s="19"/>
    </row>
    <row r="525" spans="1:19">
      <c r="A525" s="19" t="s">
        <v>524</v>
      </c>
      <c r="B525" s="19" t="s">
        <v>825</v>
      </c>
      <c r="C525" s="19" t="s">
        <v>830</v>
      </c>
      <c r="D525" s="20">
        <v>1</v>
      </c>
      <c r="E525" s="19" t="s">
        <v>844</v>
      </c>
      <c r="F525" s="19" t="s">
        <v>868</v>
      </c>
      <c r="G525" s="19" t="s">
        <v>892</v>
      </c>
      <c r="H525" s="19" t="s">
        <v>977</v>
      </c>
      <c r="I525" s="19" t="s">
        <v>996</v>
      </c>
      <c r="J525" s="19" t="s">
        <v>1006</v>
      </c>
      <c r="K525" s="24">
        <v>46135</v>
      </c>
      <c r="L525" s="26">
        <v>46135.77361111111</v>
      </c>
      <c r="M525" s="26">
        <v>46135.85277777778</v>
      </c>
      <c r="N525" s="21">
        <v>1.9</v>
      </c>
      <c r="O525" s="23">
        <v>3580.8</v>
      </c>
      <c r="P525" s="19" t="s">
        <v>1014</v>
      </c>
      <c r="Q525" s="20">
        <v>0</v>
      </c>
      <c r="R525" s="19" t="s">
        <v>1021</v>
      </c>
      <c r="S525" s="19"/>
    </row>
    <row r="526" spans="1:19">
      <c r="A526" s="19" t="s">
        <v>525</v>
      </c>
      <c r="B526" s="19" t="s">
        <v>823</v>
      </c>
      <c r="C526" s="19" t="s">
        <v>828</v>
      </c>
      <c r="D526" s="20">
        <v>0</v>
      </c>
      <c r="E526" s="19" t="s">
        <v>840</v>
      </c>
      <c r="F526" s="19" t="s">
        <v>864</v>
      </c>
      <c r="G526" s="19" t="s">
        <v>888</v>
      </c>
      <c r="H526" s="19" t="s">
        <v>917</v>
      </c>
      <c r="I526" s="19" t="s">
        <v>989</v>
      </c>
      <c r="J526" s="19" t="s">
        <v>1004</v>
      </c>
      <c r="K526" s="24">
        <v>46136</v>
      </c>
      <c r="L526" s="19"/>
      <c r="M526" s="19"/>
      <c r="N526" s="21">
        <v>0</v>
      </c>
      <c r="O526" s="23">
        <v>847.2</v>
      </c>
      <c r="P526" s="19" t="s">
        <v>1014</v>
      </c>
      <c r="Q526" s="20">
        <v>0</v>
      </c>
      <c r="R526" s="19" t="s">
        <v>1023</v>
      </c>
      <c r="S526" s="19"/>
    </row>
    <row r="527" spans="1:19">
      <c r="A527" s="19" t="s">
        <v>526</v>
      </c>
      <c r="B527" s="19" t="s">
        <v>824</v>
      </c>
      <c r="C527" s="19" t="s">
        <v>829</v>
      </c>
      <c r="D527" s="20">
        <v>0</v>
      </c>
      <c r="E527" s="19" t="s">
        <v>842</v>
      </c>
      <c r="F527" s="19" t="s">
        <v>866</v>
      </c>
      <c r="G527" s="19" t="s">
        <v>890</v>
      </c>
      <c r="H527" s="19" t="s">
        <v>914</v>
      </c>
      <c r="I527" s="19" t="s">
        <v>989</v>
      </c>
      <c r="J527" s="19" t="s">
        <v>1004</v>
      </c>
      <c r="K527" s="24">
        <v>46136</v>
      </c>
      <c r="L527" s="19"/>
      <c r="M527" s="19"/>
      <c r="N527" s="21">
        <v>0</v>
      </c>
      <c r="O527" s="23">
        <v>320</v>
      </c>
      <c r="P527" s="19" t="s">
        <v>1015</v>
      </c>
      <c r="Q527" s="20">
        <v>0</v>
      </c>
      <c r="R527" s="19" t="s">
        <v>1021</v>
      </c>
      <c r="S527" s="19"/>
    </row>
    <row r="528" spans="1:19">
      <c r="A528" s="19" t="s">
        <v>527</v>
      </c>
      <c r="B528" s="19" t="s">
        <v>823</v>
      </c>
      <c r="C528" s="19" t="s">
        <v>828</v>
      </c>
      <c r="D528" s="20">
        <v>0</v>
      </c>
      <c r="E528" s="19" t="s">
        <v>836</v>
      </c>
      <c r="F528" s="19" t="s">
        <v>860</v>
      </c>
      <c r="G528" s="19" t="s">
        <v>884</v>
      </c>
      <c r="H528" s="19" t="s">
        <v>909</v>
      </c>
      <c r="I528" s="19" t="s">
        <v>989</v>
      </c>
      <c r="J528" s="19" t="s">
        <v>1004</v>
      </c>
      <c r="K528" s="24">
        <v>46137</v>
      </c>
      <c r="L528" s="19"/>
      <c r="M528" s="19"/>
      <c r="N528" s="21">
        <v>0</v>
      </c>
      <c r="O528" s="23">
        <v>303.53</v>
      </c>
      <c r="P528" s="19" t="s">
        <v>1014</v>
      </c>
      <c r="Q528" s="20">
        <v>0</v>
      </c>
      <c r="R528" s="19" t="s">
        <v>1022</v>
      </c>
      <c r="S528" s="19"/>
    </row>
    <row r="529" spans="1:19">
      <c r="A529" s="19" t="s">
        <v>528</v>
      </c>
      <c r="B529" s="19" t="s">
        <v>826</v>
      </c>
      <c r="C529" s="19" t="s">
        <v>831</v>
      </c>
      <c r="D529" s="20">
        <v>1</v>
      </c>
      <c r="E529" s="19" t="s">
        <v>840</v>
      </c>
      <c r="F529" s="19" t="s">
        <v>864</v>
      </c>
      <c r="G529" s="19" t="s">
        <v>888</v>
      </c>
      <c r="H529" s="19" t="s">
        <v>978</v>
      </c>
      <c r="I529" s="19" t="s">
        <v>994</v>
      </c>
      <c r="J529" s="19" t="s">
        <v>1005</v>
      </c>
      <c r="K529" s="24">
        <v>46139</v>
      </c>
      <c r="L529" s="26">
        <v>46139.07847222222</v>
      </c>
      <c r="M529" s="26">
        <v>46139.29097222222</v>
      </c>
      <c r="N529" s="21">
        <v>5.1</v>
      </c>
      <c r="O529" s="23">
        <v>13821.59</v>
      </c>
      <c r="P529" s="19" t="s">
        <v>1014</v>
      </c>
      <c r="Q529" s="20">
        <v>0</v>
      </c>
      <c r="R529" s="19" t="s">
        <v>1024</v>
      </c>
      <c r="S529" s="19" t="s">
        <v>1031</v>
      </c>
    </row>
    <row r="530" spans="1:19">
      <c r="A530" s="19" t="s">
        <v>529</v>
      </c>
      <c r="B530" s="19" t="s">
        <v>823</v>
      </c>
      <c r="C530" s="19" t="s">
        <v>828</v>
      </c>
      <c r="D530" s="20">
        <v>0</v>
      </c>
      <c r="E530" s="19" t="s">
        <v>834</v>
      </c>
      <c r="F530" s="19" t="s">
        <v>858</v>
      </c>
      <c r="G530" s="19" t="s">
        <v>882</v>
      </c>
      <c r="H530" s="19" t="s">
        <v>917</v>
      </c>
      <c r="I530" s="19" t="s">
        <v>989</v>
      </c>
      <c r="J530" s="19" t="s">
        <v>1004</v>
      </c>
      <c r="K530" s="24">
        <v>46139</v>
      </c>
      <c r="L530" s="19"/>
      <c r="M530" s="19"/>
      <c r="N530" s="21">
        <v>0</v>
      </c>
      <c r="O530" s="23">
        <v>841.15</v>
      </c>
      <c r="P530" s="19" t="s">
        <v>1014</v>
      </c>
      <c r="Q530" s="20">
        <v>0</v>
      </c>
      <c r="R530" s="19" t="s">
        <v>1022</v>
      </c>
      <c r="S530" s="19"/>
    </row>
    <row r="531" spans="1:19">
      <c r="A531" s="19" t="s">
        <v>530</v>
      </c>
      <c r="B531" s="19" t="s">
        <v>823</v>
      </c>
      <c r="C531" s="19" t="s">
        <v>828</v>
      </c>
      <c r="D531" s="20">
        <v>0</v>
      </c>
      <c r="E531" s="19" t="s">
        <v>856</v>
      </c>
      <c r="F531" s="19" t="s">
        <v>880</v>
      </c>
      <c r="G531" s="19" t="s">
        <v>904</v>
      </c>
      <c r="H531" s="19" t="s">
        <v>924</v>
      </c>
      <c r="I531" s="19" t="s">
        <v>989</v>
      </c>
      <c r="J531" s="19" t="s">
        <v>1004</v>
      </c>
      <c r="K531" s="24">
        <v>46140</v>
      </c>
      <c r="L531" s="19"/>
      <c r="M531" s="19"/>
      <c r="N531" s="21">
        <v>0</v>
      </c>
      <c r="O531" s="23">
        <v>186.65</v>
      </c>
      <c r="P531" s="19" t="s">
        <v>1015</v>
      </c>
      <c r="Q531" s="20">
        <v>0</v>
      </c>
      <c r="R531" s="19" t="s">
        <v>1023</v>
      </c>
      <c r="S531" s="19"/>
    </row>
    <row r="532" spans="1:19">
      <c r="A532" s="19" t="s">
        <v>531</v>
      </c>
      <c r="B532" s="19" t="s">
        <v>826</v>
      </c>
      <c r="C532" s="19" t="s">
        <v>831</v>
      </c>
      <c r="D532" s="20">
        <v>1</v>
      </c>
      <c r="E532" s="19" t="s">
        <v>839</v>
      </c>
      <c r="F532" s="19" t="s">
        <v>863</v>
      </c>
      <c r="G532" s="19" t="s">
        <v>887</v>
      </c>
      <c r="H532" s="19" t="s">
        <v>979</v>
      </c>
      <c r="I532" s="19" t="s">
        <v>999</v>
      </c>
      <c r="J532" s="19" t="s">
        <v>1005</v>
      </c>
      <c r="K532" s="24">
        <v>46140</v>
      </c>
      <c r="L532" s="26">
        <v>46140.69236111111</v>
      </c>
      <c r="M532" s="26">
        <v>46140.95486111111</v>
      </c>
      <c r="N532" s="21">
        <v>6.3</v>
      </c>
      <c r="O532" s="23">
        <v>3660.75</v>
      </c>
      <c r="P532" s="19" t="s">
        <v>1015</v>
      </c>
      <c r="Q532" s="20">
        <v>0</v>
      </c>
      <c r="R532" s="19" t="s">
        <v>1024</v>
      </c>
      <c r="S532" s="19" t="s">
        <v>1036</v>
      </c>
    </row>
    <row r="533" spans="1:19">
      <c r="A533" s="19" t="s">
        <v>532</v>
      </c>
      <c r="B533" s="19" t="s">
        <v>825</v>
      </c>
      <c r="C533" s="19" t="s">
        <v>830</v>
      </c>
      <c r="D533" s="20">
        <v>1</v>
      </c>
      <c r="E533" s="19" t="s">
        <v>843</v>
      </c>
      <c r="F533" s="19" t="s">
        <v>867</v>
      </c>
      <c r="G533" s="19" t="s">
        <v>891</v>
      </c>
      <c r="H533" s="19" t="s">
        <v>980</v>
      </c>
      <c r="I533" s="19" t="s">
        <v>990</v>
      </c>
      <c r="J533" s="19" t="s">
        <v>1006</v>
      </c>
      <c r="K533" s="24">
        <v>46141</v>
      </c>
      <c r="L533" s="26">
        <v>46141.18611111111</v>
      </c>
      <c r="M533" s="26">
        <v>46141.23611111111</v>
      </c>
      <c r="N533" s="21">
        <v>1.2</v>
      </c>
      <c r="O533" s="23">
        <v>2629.72</v>
      </c>
      <c r="P533" s="19" t="s">
        <v>1015</v>
      </c>
      <c r="Q533" s="20">
        <v>0</v>
      </c>
      <c r="R533" s="19" t="s">
        <v>1022</v>
      </c>
      <c r="S533" s="19"/>
    </row>
    <row r="534" spans="1:19">
      <c r="A534" s="19" t="s">
        <v>533</v>
      </c>
      <c r="B534" s="19" t="s">
        <v>823</v>
      </c>
      <c r="C534" s="19" t="s">
        <v>828</v>
      </c>
      <c r="D534" s="20">
        <v>0</v>
      </c>
      <c r="E534" s="19" t="s">
        <v>854</v>
      </c>
      <c r="F534" s="19" t="s">
        <v>878</v>
      </c>
      <c r="G534" s="19" t="s">
        <v>902</v>
      </c>
      <c r="H534" s="19" t="s">
        <v>907</v>
      </c>
      <c r="I534" s="19" t="s">
        <v>989</v>
      </c>
      <c r="J534" s="19" t="s">
        <v>1004</v>
      </c>
      <c r="K534" s="24">
        <v>46141</v>
      </c>
      <c r="L534" s="19"/>
      <c r="M534" s="19"/>
      <c r="N534" s="21">
        <v>0</v>
      </c>
      <c r="O534" s="23">
        <v>361.34</v>
      </c>
      <c r="P534" s="19" t="s">
        <v>1014</v>
      </c>
      <c r="Q534" s="20">
        <v>0</v>
      </c>
      <c r="R534" s="19" t="s">
        <v>1023</v>
      </c>
      <c r="S534" s="19"/>
    </row>
    <row r="535" spans="1:19">
      <c r="A535" s="19" t="s">
        <v>534</v>
      </c>
      <c r="B535" s="19" t="s">
        <v>824</v>
      </c>
      <c r="C535" s="19" t="s">
        <v>829</v>
      </c>
      <c r="D535" s="20">
        <v>0</v>
      </c>
      <c r="E535" s="19" t="s">
        <v>836</v>
      </c>
      <c r="F535" s="19" t="s">
        <v>860</v>
      </c>
      <c r="G535" s="19" t="s">
        <v>884</v>
      </c>
      <c r="H535" s="19" t="s">
        <v>910</v>
      </c>
      <c r="I535" s="19" t="s">
        <v>989</v>
      </c>
      <c r="J535" s="19" t="s">
        <v>1004</v>
      </c>
      <c r="K535" s="24">
        <v>46141</v>
      </c>
      <c r="L535" s="19"/>
      <c r="M535" s="19"/>
      <c r="N535" s="21">
        <v>0</v>
      </c>
      <c r="O535" s="23">
        <v>120</v>
      </c>
      <c r="P535" s="19" t="s">
        <v>1014</v>
      </c>
      <c r="Q535" s="20">
        <v>0</v>
      </c>
      <c r="R535" s="19" t="s">
        <v>1021</v>
      </c>
      <c r="S535" s="19"/>
    </row>
    <row r="536" spans="1:19">
      <c r="A536" s="19" t="s">
        <v>535</v>
      </c>
      <c r="B536" s="19" t="s">
        <v>823</v>
      </c>
      <c r="C536" s="19" t="s">
        <v>828</v>
      </c>
      <c r="D536" s="20">
        <v>0</v>
      </c>
      <c r="E536" s="19" t="s">
        <v>846</v>
      </c>
      <c r="F536" s="19" t="s">
        <v>870</v>
      </c>
      <c r="G536" s="19" t="s">
        <v>894</v>
      </c>
      <c r="H536" s="19" t="s">
        <v>911</v>
      </c>
      <c r="I536" s="19" t="s">
        <v>989</v>
      </c>
      <c r="J536" s="19" t="s">
        <v>1004</v>
      </c>
      <c r="K536" s="24">
        <v>46142</v>
      </c>
      <c r="L536" s="19"/>
      <c r="M536" s="19"/>
      <c r="N536" s="21">
        <v>0</v>
      </c>
      <c r="O536" s="23">
        <v>245.22</v>
      </c>
      <c r="P536" s="19" t="s">
        <v>1014</v>
      </c>
      <c r="Q536" s="20">
        <v>0</v>
      </c>
      <c r="R536" s="19" t="s">
        <v>1021</v>
      </c>
      <c r="S536" s="19"/>
    </row>
    <row r="537" spans="1:19">
      <c r="A537" s="19" t="s">
        <v>536</v>
      </c>
      <c r="B537" s="19" t="s">
        <v>824</v>
      </c>
      <c r="C537" s="19" t="s">
        <v>829</v>
      </c>
      <c r="D537" s="20">
        <v>0</v>
      </c>
      <c r="E537" s="19" t="s">
        <v>839</v>
      </c>
      <c r="F537" s="19" t="s">
        <v>863</v>
      </c>
      <c r="G537" s="19" t="s">
        <v>887</v>
      </c>
      <c r="H537" s="19" t="s">
        <v>914</v>
      </c>
      <c r="I537" s="19" t="s">
        <v>989</v>
      </c>
      <c r="J537" s="19" t="s">
        <v>1004</v>
      </c>
      <c r="K537" s="24">
        <v>46142</v>
      </c>
      <c r="L537" s="19"/>
      <c r="M537" s="19"/>
      <c r="N537" s="21">
        <v>0</v>
      </c>
      <c r="O537" s="23">
        <v>160</v>
      </c>
      <c r="P537" s="19" t="s">
        <v>1015</v>
      </c>
      <c r="Q537" s="20">
        <v>0</v>
      </c>
      <c r="R537" s="19" t="s">
        <v>1023</v>
      </c>
      <c r="S537" s="19"/>
    </row>
    <row r="538" spans="1:19">
      <c r="A538" s="19" t="s">
        <v>537</v>
      </c>
      <c r="B538" s="19" t="s">
        <v>824</v>
      </c>
      <c r="C538" s="19" t="s">
        <v>829</v>
      </c>
      <c r="D538" s="20">
        <v>0</v>
      </c>
      <c r="E538" s="19" t="s">
        <v>855</v>
      </c>
      <c r="F538" s="19" t="s">
        <v>879</v>
      </c>
      <c r="G538" s="19" t="s">
        <v>903</v>
      </c>
      <c r="H538" s="19" t="s">
        <v>910</v>
      </c>
      <c r="I538" s="19" t="s">
        <v>989</v>
      </c>
      <c r="J538" s="19" t="s">
        <v>1004</v>
      </c>
      <c r="K538" s="24">
        <v>46142</v>
      </c>
      <c r="L538" s="19"/>
      <c r="M538" s="19"/>
      <c r="N538" s="21">
        <v>0</v>
      </c>
      <c r="O538" s="23">
        <v>100</v>
      </c>
      <c r="P538" s="19" t="s">
        <v>1015</v>
      </c>
      <c r="Q538" s="20">
        <v>0</v>
      </c>
      <c r="R538" s="19" t="s">
        <v>1022</v>
      </c>
      <c r="S538" s="19"/>
    </row>
    <row r="539" spans="1:19">
      <c r="A539" s="19" t="s">
        <v>538</v>
      </c>
      <c r="B539" s="19" t="s">
        <v>824</v>
      </c>
      <c r="C539" s="19" t="s">
        <v>829</v>
      </c>
      <c r="D539" s="20">
        <v>0</v>
      </c>
      <c r="E539" s="19" t="s">
        <v>840</v>
      </c>
      <c r="F539" s="19" t="s">
        <v>864</v>
      </c>
      <c r="G539" s="19" t="s">
        <v>888</v>
      </c>
      <c r="H539" s="19" t="s">
        <v>908</v>
      </c>
      <c r="I539" s="19" t="s">
        <v>989</v>
      </c>
      <c r="J539" s="19" t="s">
        <v>1004</v>
      </c>
      <c r="K539" s="24">
        <v>46142</v>
      </c>
      <c r="L539" s="19"/>
      <c r="M539" s="19"/>
      <c r="N539" s="21">
        <v>0</v>
      </c>
      <c r="O539" s="23">
        <v>240</v>
      </c>
      <c r="P539" s="19" t="s">
        <v>1014</v>
      </c>
      <c r="Q539" s="20">
        <v>0</v>
      </c>
      <c r="R539" s="19" t="s">
        <v>1022</v>
      </c>
      <c r="S539" s="19"/>
    </row>
    <row r="540" spans="1:19">
      <c r="A540" s="19" t="s">
        <v>539</v>
      </c>
      <c r="B540" s="19" t="s">
        <v>823</v>
      </c>
      <c r="C540" s="19" t="s">
        <v>828</v>
      </c>
      <c r="D540" s="20">
        <v>0</v>
      </c>
      <c r="E540" s="19" t="s">
        <v>841</v>
      </c>
      <c r="F540" s="19" t="s">
        <v>865</v>
      </c>
      <c r="G540" s="19" t="s">
        <v>889</v>
      </c>
      <c r="H540" s="19" t="s">
        <v>906</v>
      </c>
      <c r="I540" s="19" t="s">
        <v>989</v>
      </c>
      <c r="J540" s="19" t="s">
        <v>1004</v>
      </c>
      <c r="K540" s="24">
        <v>46143</v>
      </c>
      <c r="L540" s="19"/>
      <c r="M540" s="19"/>
      <c r="N540" s="21">
        <v>0</v>
      </c>
      <c r="O540" s="23">
        <v>1638.59</v>
      </c>
      <c r="P540" s="19" t="s">
        <v>1014</v>
      </c>
      <c r="Q540" s="20">
        <v>0</v>
      </c>
      <c r="R540" s="19" t="s">
        <v>1022</v>
      </c>
      <c r="S540" s="19"/>
    </row>
    <row r="541" spans="1:19">
      <c r="A541" s="19" t="s">
        <v>540</v>
      </c>
      <c r="B541" s="19" t="s">
        <v>823</v>
      </c>
      <c r="C541" s="19" t="s">
        <v>828</v>
      </c>
      <c r="D541" s="20">
        <v>0</v>
      </c>
      <c r="E541" s="19" t="s">
        <v>839</v>
      </c>
      <c r="F541" s="19" t="s">
        <v>863</v>
      </c>
      <c r="G541" s="19" t="s">
        <v>887</v>
      </c>
      <c r="H541" s="19" t="s">
        <v>911</v>
      </c>
      <c r="I541" s="19" t="s">
        <v>989</v>
      </c>
      <c r="J541" s="19" t="s">
        <v>1004</v>
      </c>
      <c r="K541" s="24">
        <v>46143</v>
      </c>
      <c r="L541" s="19"/>
      <c r="M541" s="19"/>
      <c r="N541" s="21">
        <v>0</v>
      </c>
      <c r="O541" s="23">
        <v>448.26</v>
      </c>
      <c r="P541" s="19" t="s">
        <v>1014</v>
      </c>
      <c r="Q541" s="20">
        <v>0</v>
      </c>
      <c r="R541" s="19" t="s">
        <v>1022</v>
      </c>
      <c r="S541" s="19"/>
    </row>
    <row r="542" spans="1:19">
      <c r="A542" s="19" t="s">
        <v>541</v>
      </c>
      <c r="B542" s="19" t="s">
        <v>823</v>
      </c>
      <c r="C542" s="19" t="s">
        <v>828</v>
      </c>
      <c r="D542" s="20">
        <v>0</v>
      </c>
      <c r="E542" s="19" t="s">
        <v>842</v>
      </c>
      <c r="F542" s="19" t="s">
        <v>866</v>
      </c>
      <c r="G542" s="19" t="s">
        <v>890</v>
      </c>
      <c r="H542" s="19" t="s">
        <v>909</v>
      </c>
      <c r="I542" s="19" t="s">
        <v>989</v>
      </c>
      <c r="J542" s="19" t="s">
        <v>1004</v>
      </c>
      <c r="K542" s="24">
        <v>46143</v>
      </c>
      <c r="L542" s="19"/>
      <c r="M542" s="19"/>
      <c r="N542" s="21">
        <v>0</v>
      </c>
      <c r="O542" s="23">
        <v>772.87</v>
      </c>
      <c r="P542" s="19" t="s">
        <v>1015</v>
      </c>
      <c r="Q542" s="20">
        <v>0</v>
      </c>
      <c r="R542" s="19" t="s">
        <v>1022</v>
      </c>
      <c r="S542" s="19"/>
    </row>
    <row r="543" spans="1:19">
      <c r="A543" s="19" t="s">
        <v>542</v>
      </c>
      <c r="B543" s="19" t="s">
        <v>823</v>
      </c>
      <c r="C543" s="19" t="s">
        <v>828</v>
      </c>
      <c r="D543" s="20">
        <v>0</v>
      </c>
      <c r="E543" s="19" t="s">
        <v>849</v>
      </c>
      <c r="F543" s="19" t="s">
        <v>873</v>
      </c>
      <c r="G543" s="19" t="s">
        <v>897</v>
      </c>
      <c r="H543" s="19" t="s">
        <v>917</v>
      </c>
      <c r="I543" s="19" t="s">
        <v>989</v>
      </c>
      <c r="J543" s="19" t="s">
        <v>1004</v>
      </c>
      <c r="K543" s="24">
        <v>46143</v>
      </c>
      <c r="L543" s="19"/>
      <c r="M543" s="19"/>
      <c r="N543" s="21">
        <v>0</v>
      </c>
      <c r="O543" s="23">
        <v>1093.82</v>
      </c>
      <c r="P543" s="19" t="s">
        <v>1015</v>
      </c>
      <c r="Q543" s="20">
        <v>0</v>
      </c>
      <c r="R543" s="19" t="s">
        <v>1021</v>
      </c>
      <c r="S543" s="19"/>
    </row>
    <row r="544" spans="1:19">
      <c r="A544" s="19" t="s">
        <v>543</v>
      </c>
      <c r="B544" s="19" t="s">
        <v>824</v>
      </c>
      <c r="C544" s="19" t="s">
        <v>829</v>
      </c>
      <c r="D544" s="20">
        <v>0</v>
      </c>
      <c r="E544" s="19" t="s">
        <v>835</v>
      </c>
      <c r="F544" s="19" t="s">
        <v>859</v>
      </c>
      <c r="G544" s="19" t="s">
        <v>883</v>
      </c>
      <c r="H544" s="19" t="s">
        <v>925</v>
      </c>
      <c r="I544" s="19" t="s">
        <v>989</v>
      </c>
      <c r="J544" s="19" t="s">
        <v>1004</v>
      </c>
      <c r="K544" s="24">
        <v>46143</v>
      </c>
      <c r="L544" s="19"/>
      <c r="M544" s="19"/>
      <c r="N544" s="21">
        <v>0</v>
      </c>
      <c r="O544" s="23">
        <v>152</v>
      </c>
      <c r="P544" s="19" t="s">
        <v>1014</v>
      </c>
      <c r="Q544" s="20">
        <v>0</v>
      </c>
      <c r="R544" s="19" t="s">
        <v>1023</v>
      </c>
      <c r="S544" s="19"/>
    </row>
    <row r="545" spans="1:19">
      <c r="A545" s="19" t="s">
        <v>544</v>
      </c>
      <c r="B545" s="19" t="s">
        <v>823</v>
      </c>
      <c r="C545" s="19" t="s">
        <v>828</v>
      </c>
      <c r="D545" s="20">
        <v>0</v>
      </c>
      <c r="E545" s="19" t="s">
        <v>835</v>
      </c>
      <c r="F545" s="19" t="s">
        <v>859</v>
      </c>
      <c r="G545" s="19" t="s">
        <v>883</v>
      </c>
      <c r="H545" s="19" t="s">
        <v>911</v>
      </c>
      <c r="I545" s="19" t="s">
        <v>989</v>
      </c>
      <c r="J545" s="19" t="s">
        <v>1004</v>
      </c>
      <c r="K545" s="24">
        <v>46144</v>
      </c>
      <c r="L545" s="19"/>
      <c r="M545" s="19"/>
      <c r="N545" s="21">
        <v>0</v>
      </c>
      <c r="O545" s="23">
        <v>620.23</v>
      </c>
      <c r="P545" s="19" t="s">
        <v>1014</v>
      </c>
      <c r="Q545" s="20">
        <v>0</v>
      </c>
      <c r="R545" s="19" t="s">
        <v>1022</v>
      </c>
      <c r="S545" s="19"/>
    </row>
    <row r="546" spans="1:19">
      <c r="A546" s="19" t="s">
        <v>545</v>
      </c>
      <c r="B546" s="19" t="s">
        <v>823</v>
      </c>
      <c r="C546" s="19" t="s">
        <v>828</v>
      </c>
      <c r="D546" s="20">
        <v>0</v>
      </c>
      <c r="E546" s="19" t="s">
        <v>853</v>
      </c>
      <c r="F546" s="19" t="s">
        <v>877</v>
      </c>
      <c r="G546" s="19" t="s">
        <v>901</v>
      </c>
      <c r="H546" s="19" t="s">
        <v>906</v>
      </c>
      <c r="I546" s="19" t="s">
        <v>989</v>
      </c>
      <c r="J546" s="19" t="s">
        <v>1004</v>
      </c>
      <c r="K546" s="24">
        <v>46144</v>
      </c>
      <c r="L546" s="19"/>
      <c r="M546" s="19"/>
      <c r="N546" s="21">
        <v>0</v>
      </c>
      <c r="O546" s="23">
        <v>448.07</v>
      </c>
      <c r="P546" s="19" t="s">
        <v>1015</v>
      </c>
      <c r="Q546" s="20">
        <v>0</v>
      </c>
      <c r="R546" s="19" t="s">
        <v>1021</v>
      </c>
      <c r="S546" s="19"/>
    </row>
    <row r="547" spans="1:19">
      <c r="A547" s="19" t="s">
        <v>546</v>
      </c>
      <c r="B547" s="19" t="s">
        <v>824</v>
      </c>
      <c r="C547" s="19" t="s">
        <v>829</v>
      </c>
      <c r="D547" s="20">
        <v>0</v>
      </c>
      <c r="E547" s="19" t="s">
        <v>837</v>
      </c>
      <c r="F547" s="19" t="s">
        <v>861</v>
      </c>
      <c r="G547" s="19" t="s">
        <v>885</v>
      </c>
      <c r="H547" s="19" t="s">
        <v>925</v>
      </c>
      <c r="I547" s="19" t="s">
        <v>989</v>
      </c>
      <c r="J547" s="19" t="s">
        <v>1004</v>
      </c>
      <c r="K547" s="24">
        <v>46145</v>
      </c>
      <c r="L547" s="19"/>
      <c r="M547" s="19"/>
      <c r="N547" s="21">
        <v>0</v>
      </c>
      <c r="O547" s="23">
        <v>260</v>
      </c>
      <c r="P547" s="19" t="s">
        <v>1014</v>
      </c>
      <c r="Q547" s="20">
        <v>0</v>
      </c>
      <c r="R547" s="19" t="s">
        <v>1022</v>
      </c>
      <c r="S547" s="19"/>
    </row>
    <row r="548" spans="1:19">
      <c r="A548" s="19" t="s">
        <v>547</v>
      </c>
      <c r="B548" s="19" t="s">
        <v>823</v>
      </c>
      <c r="C548" s="19" t="s">
        <v>828</v>
      </c>
      <c r="D548" s="20">
        <v>0</v>
      </c>
      <c r="E548" s="19" t="s">
        <v>848</v>
      </c>
      <c r="F548" s="19" t="s">
        <v>872</v>
      </c>
      <c r="G548" s="19" t="s">
        <v>896</v>
      </c>
      <c r="H548" s="19" t="s">
        <v>917</v>
      </c>
      <c r="I548" s="19" t="s">
        <v>989</v>
      </c>
      <c r="J548" s="19" t="s">
        <v>1004</v>
      </c>
      <c r="K548" s="24">
        <v>46146</v>
      </c>
      <c r="L548" s="19"/>
      <c r="M548" s="19"/>
      <c r="N548" s="21">
        <v>0</v>
      </c>
      <c r="O548" s="23">
        <v>1540.85</v>
      </c>
      <c r="P548" s="19" t="s">
        <v>1015</v>
      </c>
      <c r="Q548" s="20">
        <v>0</v>
      </c>
      <c r="R548" s="19" t="s">
        <v>1023</v>
      </c>
      <c r="S548" s="19"/>
    </row>
    <row r="549" spans="1:19">
      <c r="A549" s="19" t="s">
        <v>548</v>
      </c>
      <c r="B549" s="19" t="s">
        <v>824</v>
      </c>
      <c r="C549" s="19" t="s">
        <v>829</v>
      </c>
      <c r="D549" s="20">
        <v>0</v>
      </c>
      <c r="E549" s="19" t="s">
        <v>846</v>
      </c>
      <c r="F549" s="19" t="s">
        <v>870</v>
      </c>
      <c r="G549" s="19" t="s">
        <v>894</v>
      </c>
      <c r="H549" s="19" t="s">
        <v>910</v>
      </c>
      <c r="I549" s="19" t="s">
        <v>989</v>
      </c>
      <c r="J549" s="19" t="s">
        <v>1004</v>
      </c>
      <c r="K549" s="24">
        <v>46146</v>
      </c>
      <c r="L549" s="19"/>
      <c r="M549" s="19"/>
      <c r="N549" s="21">
        <v>0</v>
      </c>
      <c r="O549" s="23">
        <v>100</v>
      </c>
      <c r="P549" s="19" t="s">
        <v>1014</v>
      </c>
      <c r="Q549" s="20">
        <v>0</v>
      </c>
      <c r="R549" s="19" t="s">
        <v>1023</v>
      </c>
      <c r="S549" s="19"/>
    </row>
    <row r="550" spans="1:19">
      <c r="A550" s="19" t="s">
        <v>549</v>
      </c>
      <c r="B550" s="19" t="s">
        <v>826</v>
      </c>
      <c r="C550" s="19" t="s">
        <v>831</v>
      </c>
      <c r="D550" s="20">
        <v>1</v>
      </c>
      <c r="E550" s="19" t="s">
        <v>843</v>
      </c>
      <c r="F550" s="19" t="s">
        <v>867</v>
      </c>
      <c r="G550" s="19" t="s">
        <v>891</v>
      </c>
      <c r="H550" s="19" t="s">
        <v>973</v>
      </c>
      <c r="I550" s="19" t="s">
        <v>991</v>
      </c>
      <c r="J550" s="19" t="s">
        <v>1006</v>
      </c>
      <c r="K550" s="24">
        <v>46147</v>
      </c>
      <c r="L550" s="26">
        <v>46147.22430555556</v>
      </c>
      <c r="M550" s="26">
        <v>46147.47430555556</v>
      </c>
      <c r="N550" s="21">
        <v>6</v>
      </c>
      <c r="O550" s="23">
        <v>3026.21</v>
      </c>
      <c r="P550" s="19" t="s">
        <v>1014</v>
      </c>
      <c r="Q550" s="20">
        <v>0</v>
      </c>
      <c r="R550" s="19" t="s">
        <v>1022</v>
      </c>
      <c r="S550" s="19"/>
    </row>
    <row r="551" spans="1:19">
      <c r="A551" s="19" t="s">
        <v>550</v>
      </c>
      <c r="B551" s="19" t="s">
        <v>823</v>
      </c>
      <c r="C551" s="19" t="s">
        <v>828</v>
      </c>
      <c r="D551" s="20">
        <v>0</v>
      </c>
      <c r="E551" s="19" t="s">
        <v>845</v>
      </c>
      <c r="F551" s="19" t="s">
        <v>869</v>
      </c>
      <c r="G551" s="19" t="s">
        <v>893</v>
      </c>
      <c r="H551" s="19" t="s">
        <v>912</v>
      </c>
      <c r="I551" s="19" t="s">
        <v>989</v>
      </c>
      <c r="J551" s="19" t="s">
        <v>1004</v>
      </c>
      <c r="K551" s="24">
        <v>46147</v>
      </c>
      <c r="L551" s="19"/>
      <c r="M551" s="19"/>
      <c r="N551" s="21">
        <v>0</v>
      </c>
      <c r="O551" s="23">
        <v>1501.61</v>
      </c>
      <c r="P551" s="19" t="s">
        <v>1015</v>
      </c>
      <c r="Q551" s="20">
        <v>0</v>
      </c>
      <c r="R551" s="19" t="s">
        <v>1022</v>
      </c>
      <c r="S551" s="19"/>
    </row>
    <row r="552" spans="1:19">
      <c r="A552" s="19" t="s">
        <v>551</v>
      </c>
      <c r="B552" s="19" t="s">
        <v>823</v>
      </c>
      <c r="C552" s="19" t="s">
        <v>828</v>
      </c>
      <c r="D552" s="20">
        <v>0</v>
      </c>
      <c r="E552" s="19" t="s">
        <v>852</v>
      </c>
      <c r="F552" s="19" t="s">
        <v>876</v>
      </c>
      <c r="G552" s="19" t="s">
        <v>900</v>
      </c>
      <c r="H552" s="19" t="s">
        <v>912</v>
      </c>
      <c r="I552" s="19" t="s">
        <v>989</v>
      </c>
      <c r="J552" s="19" t="s">
        <v>1004</v>
      </c>
      <c r="K552" s="24">
        <v>46147</v>
      </c>
      <c r="L552" s="19"/>
      <c r="M552" s="19"/>
      <c r="N552" s="21">
        <v>0</v>
      </c>
      <c r="O552" s="23">
        <v>943.89</v>
      </c>
      <c r="P552" s="19" t="s">
        <v>1015</v>
      </c>
      <c r="Q552" s="20">
        <v>0</v>
      </c>
      <c r="R552" s="19" t="s">
        <v>1022</v>
      </c>
      <c r="S552" s="19"/>
    </row>
    <row r="553" spans="1:19">
      <c r="A553" s="19" t="s">
        <v>552</v>
      </c>
      <c r="B553" s="19" t="s">
        <v>824</v>
      </c>
      <c r="C553" s="19" t="s">
        <v>829</v>
      </c>
      <c r="D553" s="20">
        <v>0</v>
      </c>
      <c r="E553" s="19" t="s">
        <v>851</v>
      </c>
      <c r="F553" s="19" t="s">
        <v>875</v>
      </c>
      <c r="G553" s="19" t="s">
        <v>899</v>
      </c>
      <c r="H553" s="19" t="s">
        <v>908</v>
      </c>
      <c r="I553" s="19" t="s">
        <v>989</v>
      </c>
      <c r="J553" s="19" t="s">
        <v>1004</v>
      </c>
      <c r="K553" s="24">
        <v>46147</v>
      </c>
      <c r="L553" s="19"/>
      <c r="M553" s="19"/>
      <c r="N553" s="21">
        <v>0</v>
      </c>
      <c r="O553" s="23">
        <v>180</v>
      </c>
      <c r="P553" s="19" t="s">
        <v>1014</v>
      </c>
      <c r="Q553" s="20">
        <v>0</v>
      </c>
      <c r="R553" s="19" t="s">
        <v>1022</v>
      </c>
      <c r="S553" s="19"/>
    </row>
    <row r="554" spans="1:19">
      <c r="A554" s="19" t="s">
        <v>553</v>
      </c>
      <c r="B554" s="19" t="s">
        <v>825</v>
      </c>
      <c r="C554" s="19" t="s">
        <v>830</v>
      </c>
      <c r="D554" s="20">
        <v>1</v>
      </c>
      <c r="E554" s="19" t="s">
        <v>844</v>
      </c>
      <c r="F554" s="19" t="s">
        <v>868</v>
      </c>
      <c r="G554" s="19" t="s">
        <v>892</v>
      </c>
      <c r="H554" s="19" t="s">
        <v>960</v>
      </c>
      <c r="I554" s="19" t="s">
        <v>997</v>
      </c>
      <c r="J554" s="19" t="s">
        <v>1006</v>
      </c>
      <c r="K554" s="24">
        <v>46147</v>
      </c>
      <c r="L554" s="26">
        <v>46147.58680555555</v>
      </c>
      <c r="M554" s="26">
        <v>46147.71180555555</v>
      </c>
      <c r="N554" s="21">
        <v>0</v>
      </c>
      <c r="O554" s="23">
        <v>4355.41</v>
      </c>
      <c r="P554" s="19" t="s">
        <v>1014</v>
      </c>
      <c r="Q554" s="20">
        <v>0</v>
      </c>
      <c r="R554" s="19" t="s">
        <v>1021</v>
      </c>
      <c r="S554" s="19"/>
    </row>
    <row r="555" spans="1:19">
      <c r="A555" s="19" t="s">
        <v>554</v>
      </c>
      <c r="B555" s="19" t="s">
        <v>826</v>
      </c>
      <c r="C555" s="19" t="s">
        <v>831</v>
      </c>
      <c r="D555" s="20">
        <v>1</v>
      </c>
      <c r="E555" s="19" t="s">
        <v>834</v>
      </c>
      <c r="F555" s="19" t="s">
        <v>858</v>
      </c>
      <c r="G555" s="19" t="s">
        <v>882</v>
      </c>
      <c r="H555" s="19" t="s">
        <v>948</v>
      </c>
      <c r="I555" s="19" t="s">
        <v>996</v>
      </c>
      <c r="J555" s="19" t="s">
        <v>1005</v>
      </c>
      <c r="K555" s="24">
        <v>46148</v>
      </c>
      <c r="L555" s="26">
        <v>46148.22916666666</v>
      </c>
      <c r="M555" s="26">
        <v>46148.47083333333</v>
      </c>
      <c r="N555" s="21">
        <v>5.8</v>
      </c>
      <c r="O555" s="23">
        <v>3349.69</v>
      </c>
      <c r="P555" s="19" t="s">
        <v>1014</v>
      </c>
      <c r="Q555" s="20">
        <v>0</v>
      </c>
      <c r="R555" s="19" t="s">
        <v>1024</v>
      </c>
      <c r="S555" s="19" t="s">
        <v>1028</v>
      </c>
    </row>
    <row r="556" spans="1:19">
      <c r="A556" s="19" t="s">
        <v>555</v>
      </c>
      <c r="B556" s="19" t="s">
        <v>823</v>
      </c>
      <c r="C556" s="19" t="s">
        <v>828</v>
      </c>
      <c r="D556" s="20">
        <v>0</v>
      </c>
      <c r="E556" s="19" t="s">
        <v>844</v>
      </c>
      <c r="F556" s="19" t="s">
        <v>868</v>
      </c>
      <c r="G556" s="19" t="s">
        <v>892</v>
      </c>
      <c r="H556" s="19" t="s">
        <v>912</v>
      </c>
      <c r="I556" s="19" t="s">
        <v>989</v>
      </c>
      <c r="J556" s="19" t="s">
        <v>1004</v>
      </c>
      <c r="K556" s="24">
        <v>46148</v>
      </c>
      <c r="L556" s="19"/>
      <c r="M556" s="19"/>
      <c r="N556" s="21">
        <v>0</v>
      </c>
      <c r="O556" s="23">
        <v>342.95</v>
      </c>
      <c r="P556" s="19" t="s">
        <v>1014</v>
      </c>
      <c r="Q556" s="20">
        <v>0</v>
      </c>
      <c r="R556" s="19" t="s">
        <v>1023</v>
      </c>
      <c r="S556" s="19"/>
    </row>
    <row r="557" spans="1:19">
      <c r="A557" s="19" t="s">
        <v>556</v>
      </c>
      <c r="B557" s="19" t="s">
        <v>823</v>
      </c>
      <c r="C557" s="19" t="s">
        <v>828</v>
      </c>
      <c r="D557" s="20">
        <v>0</v>
      </c>
      <c r="E557" s="19" t="s">
        <v>851</v>
      </c>
      <c r="F557" s="19" t="s">
        <v>875</v>
      </c>
      <c r="G557" s="19" t="s">
        <v>899</v>
      </c>
      <c r="H557" s="19" t="s">
        <v>907</v>
      </c>
      <c r="I557" s="19" t="s">
        <v>989</v>
      </c>
      <c r="J557" s="19" t="s">
        <v>1004</v>
      </c>
      <c r="K557" s="24">
        <v>46148</v>
      </c>
      <c r="L557" s="19"/>
      <c r="M557" s="19"/>
      <c r="N557" s="21">
        <v>0</v>
      </c>
      <c r="O557" s="23">
        <v>353.93</v>
      </c>
      <c r="P557" s="19" t="s">
        <v>1015</v>
      </c>
      <c r="Q557" s="20">
        <v>0</v>
      </c>
      <c r="R557" s="19" t="s">
        <v>1023</v>
      </c>
      <c r="S557" s="19"/>
    </row>
    <row r="558" spans="1:19">
      <c r="A558" s="19" t="s">
        <v>557</v>
      </c>
      <c r="B558" s="19" t="s">
        <v>823</v>
      </c>
      <c r="C558" s="19" t="s">
        <v>828</v>
      </c>
      <c r="D558" s="20">
        <v>0</v>
      </c>
      <c r="E558" s="19" t="s">
        <v>843</v>
      </c>
      <c r="F558" s="19" t="s">
        <v>867</v>
      </c>
      <c r="G558" s="19" t="s">
        <v>891</v>
      </c>
      <c r="H558" s="19" t="s">
        <v>906</v>
      </c>
      <c r="I558" s="19" t="s">
        <v>989</v>
      </c>
      <c r="J558" s="19" t="s">
        <v>1004</v>
      </c>
      <c r="K558" s="24">
        <v>46149</v>
      </c>
      <c r="L558" s="19"/>
      <c r="M558" s="19"/>
      <c r="N558" s="21">
        <v>0</v>
      </c>
      <c r="O558" s="23">
        <v>171.11</v>
      </c>
      <c r="P558" s="19" t="s">
        <v>1015</v>
      </c>
      <c r="Q558" s="20">
        <v>0</v>
      </c>
      <c r="R558" s="19" t="s">
        <v>1023</v>
      </c>
      <c r="S558" s="19"/>
    </row>
    <row r="559" spans="1:19">
      <c r="A559" s="19" t="s">
        <v>558</v>
      </c>
      <c r="B559" s="19" t="s">
        <v>823</v>
      </c>
      <c r="C559" s="19" t="s">
        <v>828</v>
      </c>
      <c r="D559" s="20">
        <v>0</v>
      </c>
      <c r="E559" s="19" t="s">
        <v>855</v>
      </c>
      <c r="F559" s="19" t="s">
        <v>879</v>
      </c>
      <c r="G559" s="19" t="s">
        <v>903</v>
      </c>
      <c r="H559" s="19" t="s">
        <v>906</v>
      </c>
      <c r="I559" s="19" t="s">
        <v>989</v>
      </c>
      <c r="J559" s="19" t="s">
        <v>1004</v>
      </c>
      <c r="K559" s="24">
        <v>46149</v>
      </c>
      <c r="L559" s="19"/>
      <c r="M559" s="19"/>
      <c r="N559" s="21">
        <v>0</v>
      </c>
      <c r="O559" s="23">
        <v>515.05</v>
      </c>
      <c r="P559" s="19" t="s">
        <v>1015</v>
      </c>
      <c r="Q559" s="20">
        <v>0</v>
      </c>
      <c r="R559" s="19" t="s">
        <v>1021</v>
      </c>
      <c r="S559" s="19"/>
    </row>
    <row r="560" spans="1:19">
      <c r="A560" s="19" t="s">
        <v>559</v>
      </c>
      <c r="B560" s="19" t="s">
        <v>825</v>
      </c>
      <c r="C560" s="19" t="s">
        <v>830</v>
      </c>
      <c r="D560" s="20">
        <v>1</v>
      </c>
      <c r="E560" s="19" t="s">
        <v>837</v>
      </c>
      <c r="F560" s="19" t="s">
        <v>861</v>
      </c>
      <c r="G560" s="19" t="s">
        <v>885</v>
      </c>
      <c r="H560" s="19" t="s">
        <v>970</v>
      </c>
      <c r="I560" s="19" t="s">
        <v>992</v>
      </c>
      <c r="J560" s="19" t="s">
        <v>1006</v>
      </c>
      <c r="K560" s="24">
        <v>46149</v>
      </c>
      <c r="L560" s="26">
        <v>46149.33125</v>
      </c>
      <c r="M560" s="26">
        <v>46149.61875</v>
      </c>
      <c r="N560" s="21">
        <v>6.9</v>
      </c>
      <c r="O560" s="23">
        <v>2428.82</v>
      </c>
      <c r="P560" s="19" t="s">
        <v>1015</v>
      </c>
      <c r="Q560" s="20">
        <v>0</v>
      </c>
      <c r="R560" s="19" t="s">
        <v>1021</v>
      </c>
      <c r="S560" s="19"/>
    </row>
    <row r="561" spans="1:19">
      <c r="A561" s="19" t="s">
        <v>560</v>
      </c>
      <c r="B561" s="19" t="s">
        <v>825</v>
      </c>
      <c r="C561" s="19" t="s">
        <v>830</v>
      </c>
      <c r="D561" s="20">
        <v>1</v>
      </c>
      <c r="E561" s="19" t="s">
        <v>844</v>
      </c>
      <c r="F561" s="19" t="s">
        <v>868</v>
      </c>
      <c r="G561" s="19" t="s">
        <v>892</v>
      </c>
      <c r="H561" s="19" t="s">
        <v>964</v>
      </c>
      <c r="I561" s="19" t="s">
        <v>996</v>
      </c>
      <c r="J561" s="19" t="s">
        <v>1006</v>
      </c>
      <c r="K561" s="24">
        <v>46149</v>
      </c>
      <c r="L561" s="26">
        <v>46149.38263888889</v>
      </c>
      <c r="M561" s="26">
        <v>46149.72361111111</v>
      </c>
      <c r="N561" s="21">
        <v>8.18</v>
      </c>
      <c r="O561" s="23">
        <v>2684.47</v>
      </c>
      <c r="P561" s="19" t="s">
        <v>1014</v>
      </c>
      <c r="Q561" s="20">
        <v>0</v>
      </c>
      <c r="R561" s="19" t="s">
        <v>1022</v>
      </c>
      <c r="S561" s="19"/>
    </row>
    <row r="562" spans="1:19">
      <c r="A562" s="19" t="s">
        <v>561</v>
      </c>
      <c r="B562" s="19" t="s">
        <v>823</v>
      </c>
      <c r="C562" s="19" t="s">
        <v>828</v>
      </c>
      <c r="D562" s="20">
        <v>0</v>
      </c>
      <c r="E562" s="19" t="s">
        <v>838</v>
      </c>
      <c r="F562" s="19" t="s">
        <v>862</v>
      </c>
      <c r="G562" s="19" t="s">
        <v>886</v>
      </c>
      <c r="H562" s="19" t="s">
        <v>912</v>
      </c>
      <c r="I562" s="19" t="s">
        <v>989</v>
      </c>
      <c r="J562" s="19" t="s">
        <v>1004</v>
      </c>
      <c r="K562" s="24">
        <v>46151</v>
      </c>
      <c r="L562" s="19"/>
      <c r="M562" s="19"/>
      <c r="N562" s="21">
        <v>0</v>
      </c>
      <c r="O562" s="23">
        <v>326.63</v>
      </c>
      <c r="P562" s="19" t="s">
        <v>1014</v>
      </c>
      <c r="Q562" s="20">
        <v>0</v>
      </c>
      <c r="R562" s="19" t="s">
        <v>1023</v>
      </c>
      <c r="S562" s="19"/>
    </row>
    <row r="563" spans="1:19">
      <c r="A563" s="19" t="s">
        <v>562</v>
      </c>
      <c r="B563" s="19" t="s">
        <v>825</v>
      </c>
      <c r="C563" s="19" t="s">
        <v>830</v>
      </c>
      <c r="D563" s="20">
        <v>1</v>
      </c>
      <c r="E563" s="19" t="s">
        <v>843</v>
      </c>
      <c r="F563" s="19" t="s">
        <v>867</v>
      </c>
      <c r="G563" s="19" t="s">
        <v>891</v>
      </c>
      <c r="H563" s="19" t="s">
        <v>939</v>
      </c>
      <c r="I563" s="19" t="s">
        <v>993</v>
      </c>
      <c r="J563" s="19" t="s">
        <v>1006</v>
      </c>
      <c r="K563" s="24">
        <v>46151</v>
      </c>
      <c r="L563" s="26">
        <v>46151.29375</v>
      </c>
      <c r="M563" s="26">
        <v>46151.40208333333</v>
      </c>
      <c r="N563" s="21">
        <v>2.6</v>
      </c>
      <c r="O563" s="23">
        <v>3122.76</v>
      </c>
      <c r="P563" s="19" t="s">
        <v>1015</v>
      </c>
      <c r="Q563" s="20">
        <v>0</v>
      </c>
      <c r="R563" s="19" t="s">
        <v>1023</v>
      </c>
      <c r="S563" s="19"/>
    </row>
    <row r="564" spans="1:19">
      <c r="A564" s="19" t="s">
        <v>563</v>
      </c>
      <c r="B564" s="19" t="s">
        <v>824</v>
      </c>
      <c r="C564" s="19" t="s">
        <v>829</v>
      </c>
      <c r="D564" s="20">
        <v>0</v>
      </c>
      <c r="E564" s="19" t="s">
        <v>834</v>
      </c>
      <c r="F564" s="19" t="s">
        <v>858</v>
      </c>
      <c r="G564" s="19" t="s">
        <v>882</v>
      </c>
      <c r="H564" s="19" t="s">
        <v>910</v>
      </c>
      <c r="I564" s="19" t="s">
        <v>989</v>
      </c>
      <c r="J564" s="19" t="s">
        <v>1004</v>
      </c>
      <c r="K564" s="24">
        <v>46151</v>
      </c>
      <c r="L564" s="19"/>
      <c r="M564" s="19"/>
      <c r="N564" s="21">
        <v>0</v>
      </c>
      <c r="O564" s="23">
        <v>120</v>
      </c>
      <c r="P564" s="19" t="s">
        <v>1014</v>
      </c>
      <c r="Q564" s="20">
        <v>0</v>
      </c>
      <c r="R564" s="19" t="s">
        <v>1021</v>
      </c>
      <c r="S564" s="19"/>
    </row>
    <row r="565" spans="1:19">
      <c r="A565" s="19" t="s">
        <v>564</v>
      </c>
      <c r="B565" s="19" t="s">
        <v>825</v>
      </c>
      <c r="C565" s="19" t="s">
        <v>830</v>
      </c>
      <c r="D565" s="20">
        <v>1</v>
      </c>
      <c r="E565" s="19" t="s">
        <v>850</v>
      </c>
      <c r="F565" s="19" t="s">
        <v>874</v>
      </c>
      <c r="G565" s="19" t="s">
        <v>898</v>
      </c>
      <c r="H565" s="19" t="s">
        <v>941</v>
      </c>
      <c r="I565" s="19" t="s">
        <v>997</v>
      </c>
      <c r="J565" s="19" t="s">
        <v>1006</v>
      </c>
      <c r="K565" s="24">
        <v>46151</v>
      </c>
      <c r="L565" s="26">
        <v>46151.61041666667</v>
      </c>
      <c r="M565" s="26">
        <v>46151.77291666667</v>
      </c>
      <c r="N565" s="21">
        <v>3.9</v>
      </c>
      <c r="O565" s="23">
        <v>1559.92</v>
      </c>
      <c r="P565" s="19" t="s">
        <v>1015</v>
      </c>
      <c r="Q565" s="20">
        <v>0</v>
      </c>
      <c r="R565" s="19" t="s">
        <v>1023</v>
      </c>
      <c r="S565" s="19"/>
    </row>
    <row r="566" spans="1:19">
      <c r="A566" s="19" t="s">
        <v>565</v>
      </c>
      <c r="B566" s="19" t="s">
        <v>825</v>
      </c>
      <c r="C566" s="19" t="s">
        <v>830</v>
      </c>
      <c r="D566" s="20">
        <v>1</v>
      </c>
      <c r="E566" s="19" t="s">
        <v>838</v>
      </c>
      <c r="F566" s="19" t="s">
        <v>862</v>
      </c>
      <c r="G566" s="19" t="s">
        <v>886</v>
      </c>
      <c r="H566" s="19" t="s">
        <v>937</v>
      </c>
      <c r="I566" s="19" t="s">
        <v>1000</v>
      </c>
      <c r="J566" s="19" t="s">
        <v>1006</v>
      </c>
      <c r="K566" s="24">
        <v>46151</v>
      </c>
      <c r="L566" s="26">
        <v>46151.75555555556</v>
      </c>
      <c r="M566" s="26">
        <v>46151.84305555555</v>
      </c>
      <c r="N566" s="21">
        <v>0</v>
      </c>
      <c r="O566" s="23">
        <v>5497.4</v>
      </c>
      <c r="P566" s="19" t="s">
        <v>1014</v>
      </c>
      <c r="Q566" s="20">
        <v>0</v>
      </c>
      <c r="R566" s="19" t="s">
        <v>1021</v>
      </c>
      <c r="S566" s="19"/>
    </row>
    <row r="567" spans="1:19">
      <c r="A567" s="19" t="s">
        <v>566</v>
      </c>
      <c r="B567" s="19" t="s">
        <v>823</v>
      </c>
      <c r="C567" s="19" t="s">
        <v>828</v>
      </c>
      <c r="D567" s="20">
        <v>0</v>
      </c>
      <c r="E567" s="19" t="s">
        <v>837</v>
      </c>
      <c r="F567" s="19" t="s">
        <v>861</v>
      </c>
      <c r="G567" s="19" t="s">
        <v>885</v>
      </c>
      <c r="H567" s="19" t="s">
        <v>912</v>
      </c>
      <c r="I567" s="19" t="s">
        <v>989</v>
      </c>
      <c r="J567" s="19" t="s">
        <v>1004</v>
      </c>
      <c r="K567" s="24">
        <v>46152</v>
      </c>
      <c r="L567" s="19"/>
      <c r="M567" s="19"/>
      <c r="N567" s="21">
        <v>0</v>
      </c>
      <c r="O567" s="23">
        <v>1261.56</v>
      </c>
      <c r="P567" s="19" t="s">
        <v>1014</v>
      </c>
      <c r="Q567" s="20">
        <v>0</v>
      </c>
      <c r="R567" s="19" t="s">
        <v>1023</v>
      </c>
      <c r="S567" s="19"/>
    </row>
    <row r="568" spans="1:19">
      <c r="A568" s="19" t="s">
        <v>567</v>
      </c>
      <c r="B568" s="19" t="s">
        <v>823</v>
      </c>
      <c r="C568" s="19" t="s">
        <v>828</v>
      </c>
      <c r="D568" s="20">
        <v>0</v>
      </c>
      <c r="E568" s="19" t="s">
        <v>850</v>
      </c>
      <c r="F568" s="19" t="s">
        <v>874</v>
      </c>
      <c r="G568" s="19" t="s">
        <v>898</v>
      </c>
      <c r="H568" s="19" t="s">
        <v>917</v>
      </c>
      <c r="I568" s="19" t="s">
        <v>989</v>
      </c>
      <c r="J568" s="19" t="s">
        <v>1004</v>
      </c>
      <c r="K568" s="24">
        <v>46152</v>
      </c>
      <c r="L568" s="19"/>
      <c r="M568" s="19"/>
      <c r="N568" s="21">
        <v>0</v>
      </c>
      <c r="O568" s="23">
        <v>284.91</v>
      </c>
      <c r="P568" s="19" t="s">
        <v>1015</v>
      </c>
      <c r="Q568" s="20">
        <v>0</v>
      </c>
      <c r="R568" s="19" t="s">
        <v>1023</v>
      </c>
      <c r="S568" s="19"/>
    </row>
    <row r="569" spans="1:19">
      <c r="A569" s="19" t="s">
        <v>568</v>
      </c>
      <c r="B569" s="19" t="s">
        <v>823</v>
      </c>
      <c r="C569" s="19" t="s">
        <v>828</v>
      </c>
      <c r="D569" s="20">
        <v>0</v>
      </c>
      <c r="E569" s="19" t="s">
        <v>847</v>
      </c>
      <c r="F569" s="19" t="s">
        <v>871</v>
      </c>
      <c r="G569" s="19" t="s">
        <v>895</v>
      </c>
      <c r="H569" s="19" t="s">
        <v>906</v>
      </c>
      <c r="I569" s="19" t="s">
        <v>989</v>
      </c>
      <c r="J569" s="19" t="s">
        <v>1004</v>
      </c>
      <c r="K569" s="24">
        <v>46154</v>
      </c>
      <c r="L569" s="19"/>
      <c r="M569" s="19"/>
      <c r="N569" s="21">
        <v>0</v>
      </c>
      <c r="O569" s="23">
        <v>372.57</v>
      </c>
      <c r="P569" s="19" t="s">
        <v>1016</v>
      </c>
      <c r="Q569" s="20">
        <v>1</v>
      </c>
      <c r="R569" s="19" t="s">
        <v>1023</v>
      </c>
      <c r="S569" s="19"/>
    </row>
    <row r="570" spans="1:19">
      <c r="A570" s="19" t="s">
        <v>569</v>
      </c>
      <c r="B570" s="19" t="s">
        <v>823</v>
      </c>
      <c r="C570" s="19" t="s">
        <v>828</v>
      </c>
      <c r="D570" s="20">
        <v>0</v>
      </c>
      <c r="E570" s="19" t="s">
        <v>836</v>
      </c>
      <c r="F570" s="19" t="s">
        <v>860</v>
      </c>
      <c r="G570" s="19" t="s">
        <v>884</v>
      </c>
      <c r="H570" s="19" t="s">
        <v>912</v>
      </c>
      <c r="I570" s="19" t="s">
        <v>989</v>
      </c>
      <c r="J570" s="19" t="s">
        <v>1004</v>
      </c>
      <c r="K570" s="24">
        <v>46154</v>
      </c>
      <c r="L570" s="19"/>
      <c r="M570" s="19"/>
      <c r="N570" s="21">
        <v>0</v>
      </c>
      <c r="O570" s="23">
        <v>410.31</v>
      </c>
      <c r="P570" s="19" t="s">
        <v>1014</v>
      </c>
      <c r="Q570" s="20">
        <v>0</v>
      </c>
      <c r="R570" s="19" t="s">
        <v>1023</v>
      </c>
      <c r="S570" s="19"/>
    </row>
    <row r="571" spans="1:19">
      <c r="A571" s="19" t="s">
        <v>570</v>
      </c>
      <c r="B571" s="19" t="s">
        <v>823</v>
      </c>
      <c r="C571" s="19" t="s">
        <v>828</v>
      </c>
      <c r="D571" s="20">
        <v>0</v>
      </c>
      <c r="E571" s="19" t="s">
        <v>834</v>
      </c>
      <c r="F571" s="19" t="s">
        <v>858</v>
      </c>
      <c r="G571" s="19" t="s">
        <v>882</v>
      </c>
      <c r="H571" s="19" t="s">
        <v>912</v>
      </c>
      <c r="I571" s="19" t="s">
        <v>989</v>
      </c>
      <c r="J571" s="19" t="s">
        <v>1004</v>
      </c>
      <c r="K571" s="24">
        <v>46156</v>
      </c>
      <c r="L571" s="19"/>
      <c r="M571" s="19"/>
      <c r="N571" s="21">
        <v>0</v>
      </c>
      <c r="O571" s="23">
        <v>273.86</v>
      </c>
      <c r="P571" s="19" t="s">
        <v>1014</v>
      </c>
      <c r="Q571" s="20">
        <v>0</v>
      </c>
      <c r="R571" s="19" t="s">
        <v>1022</v>
      </c>
      <c r="S571" s="19"/>
    </row>
    <row r="572" spans="1:19">
      <c r="A572" s="19" t="s">
        <v>571</v>
      </c>
      <c r="B572" s="19" t="s">
        <v>823</v>
      </c>
      <c r="C572" s="19" t="s">
        <v>828</v>
      </c>
      <c r="D572" s="20">
        <v>0</v>
      </c>
      <c r="E572" s="19" t="s">
        <v>842</v>
      </c>
      <c r="F572" s="19" t="s">
        <v>866</v>
      </c>
      <c r="G572" s="19" t="s">
        <v>890</v>
      </c>
      <c r="H572" s="19" t="s">
        <v>924</v>
      </c>
      <c r="I572" s="19" t="s">
        <v>989</v>
      </c>
      <c r="J572" s="19" t="s">
        <v>1004</v>
      </c>
      <c r="K572" s="24">
        <v>46157</v>
      </c>
      <c r="L572" s="19"/>
      <c r="M572" s="19"/>
      <c r="N572" s="21">
        <v>0</v>
      </c>
      <c r="O572" s="23">
        <v>1217.88</v>
      </c>
      <c r="P572" s="19" t="s">
        <v>1014</v>
      </c>
      <c r="Q572" s="20">
        <v>0</v>
      </c>
      <c r="R572" s="19" t="s">
        <v>1022</v>
      </c>
      <c r="S572" s="19"/>
    </row>
    <row r="573" spans="1:19">
      <c r="A573" s="19" t="s">
        <v>572</v>
      </c>
      <c r="B573" s="19" t="s">
        <v>824</v>
      </c>
      <c r="C573" s="19" t="s">
        <v>829</v>
      </c>
      <c r="D573" s="20">
        <v>0</v>
      </c>
      <c r="E573" s="19" t="s">
        <v>844</v>
      </c>
      <c r="F573" s="19" t="s">
        <v>868</v>
      </c>
      <c r="G573" s="19" t="s">
        <v>892</v>
      </c>
      <c r="H573" s="19" t="s">
        <v>914</v>
      </c>
      <c r="I573" s="19" t="s">
        <v>989</v>
      </c>
      <c r="J573" s="19" t="s">
        <v>1004</v>
      </c>
      <c r="K573" s="24">
        <v>46157</v>
      </c>
      <c r="L573" s="19"/>
      <c r="M573" s="19"/>
      <c r="N573" s="21">
        <v>0</v>
      </c>
      <c r="O573" s="23">
        <v>140</v>
      </c>
      <c r="P573" s="19" t="s">
        <v>1014</v>
      </c>
      <c r="Q573" s="20">
        <v>0</v>
      </c>
      <c r="R573" s="19" t="s">
        <v>1023</v>
      </c>
      <c r="S573" s="19"/>
    </row>
    <row r="574" spans="1:19">
      <c r="A574" s="19" t="s">
        <v>573</v>
      </c>
      <c r="B574" s="19" t="s">
        <v>824</v>
      </c>
      <c r="C574" s="19" t="s">
        <v>829</v>
      </c>
      <c r="D574" s="20">
        <v>0</v>
      </c>
      <c r="E574" s="19" t="s">
        <v>849</v>
      </c>
      <c r="F574" s="19" t="s">
        <v>873</v>
      </c>
      <c r="G574" s="19" t="s">
        <v>897</v>
      </c>
      <c r="H574" s="19" t="s">
        <v>914</v>
      </c>
      <c r="I574" s="19" t="s">
        <v>989</v>
      </c>
      <c r="J574" s="19" t="s">
        <v>1004</v>
      </c>
      <c r="K574" s="24">
        <v>46157</v>
      </c>
      <c r="L574" s="19"/>
      <c r="M574" s="19"/>
      <c r="N574" s="21">
        <v>0</v>
      </c>
      <c r="O574" s="23">
        <v>320</v>
      </c>
      <c r="P574" s="19" t="s">
        <v>1015</v>
      </c>
      <c r="Q574" s="20">
        <v>0</v>
      </c>
      <c r="R574" s="19" t="s">
        <v>1021</v>
      </c>
      <c r="S574" s="19"/>
    </row>
    <row r="575" spans="1:19">
      <c r="A575" s="19" t="s">
        <v>574</v>
      </c>
      <c r="B575" s="19" t="s">
        <v>823</v>
      </c>
      <c r="C575" s="19" t="s">
        <v>828</v>
      </c>
      <c r="D575" s="20">
        <v>0</v>
      </c>
      <c r="E575" s="19" t="s">
        <v>841</v>
      </c>
      <c r="F575" s="19" t="s">
        <v>865</v>
      </c>
      <c r="G575" s="19" t="s">
        <v>889</v>
      </c>
      <c r="H575" s="19" t="s">
        <v>906</v>
      </c>
      <c r="I575" s="19" t="s">
        <v>989</v>
      </c>
      <c r="J575" s="19" t="s">
        <v>1004</v>
      </c>
      <c r="K575" s="24">
        <v>46159</v>
      </c>
      <c r="L575" s="19"/>
      <c r="M575" s="19"/>
      <c r="N575" s="21">
        <v>0</v>
      </c>
      <c r="O575" s="23">
        <v>1692.17</v>
      </c>
      <c r="P575" s="19" t="s">
        <v>1014</v>
      </c>
      <c r="Q575" s="20">
        <v>0</v>
      </c>
      <c r="R575" s="19" t="s">
        <v>1021</v>
      </c>
      <c r="S575" s="19"/>
    </row>
    <row r="576" spans="1:19">
      <c r="A576" s="19" t="s">
        <v>575</v>
      </c>
      <c r="B576" s="19" t="s">
        <v>823</v>
      </c>
      <c r="C576" s="19" t="s">
        <v>828</v>
      </c>
      <c r="D576" s="20">
        <v>0</v>
      </c>
      <c r="E576" s="19" t="s">
        <v>839</v>
      </c>
      <c r="F576" s="19" t="s">
        <v>863</v>
      </c>
      <c r="G576" s="19" t="s">
        <v>887</v>
      </c>
      <c r="H576" s="19" t="s">
        <v>924</v>
      </c>
      <c r="I576" s="19" t="s">
        <v>989</v>
      </c>
      <c r="J576" s="19" t="s">
        <v>1004</v>
      </c>
      <c r="K576" s="24">
        <v>46160</v>
      </c>
      <c r="L576" s="19"/>
      <c r="M576" s="19"/>
      <c r="N576" s="21">
        <v>0</v>
      </c>
      <c r="O576" s="23">
        <v>327.82</v>
      </c>
      <c r="P576" s="19" t="s">
        <v>1015</v>
      </c>
      <c r="Q576" s="20">
        <v>0</v>
      </c>
      <c r="R576" s="19" t="s">
        <v>1021</v>
      </c>
      <c r="S576" s="19"/>
    </row>
    <row r="577" spans="1:19">
      <c r="A577" s="19" t="s">
        <v>576</v>
      </c>
      <c r="B577" s="19" t="s">
        <v>823</v>
      </c>
      <c r="C577" s="19" t="s">
        <v>828</v>
      </c>
      <c r="D577" s="20">
        <v>0</v>
      </c>
      <c r="E577" s="19" t="s">
        <v>840</v>
      </c>
      <c r="F577" s="19" t="s">
        <v>864</v>
      </c>
      <c r="G577" s="19" t="s">
        <v>888</v>
      </c>
      <c r="H577" s="19" t="s">
        <v>909</v>
      </c>
      <c r="I577" s="19" t="s">
        <v>989</v>
      </c>
      <c r="J577" s="19" t="s">
        <v>1004</v>
      </c>
      <c r="K577" s="24">
        <v>46161</v>
      </c>
      <c r="L577" s="19"/>
      <c r="M577" s="19"/>
      <c r="N577" s="21">
        <v>0</v>
      </c>
      <c r="O577" s="23">
        <v>1350.21</v>
      </c>
      <c r="P577" s="19" t="s">
        <v>1014</v>
      </c>
      <c r="Q577" s="20">
        <v>0</v>
      </c>
      <c r="R577" s="19" t="s">
        <v>1022</v>
      </c>
      <c r="S577" s="19"/>
    </row>
    <row r="578" spans="1:19">
      <c r="A578" s="19" t="s">
        <v>577</v>
      </c>
      <c r="B578" s="19" t="s">
        <v>825</v>
      </c>
      <c r="C578" s="19" t="s">
        <v>830</v>
      </c>
      <c r="D578" s="20">
        <v>1</v>
      </c>
      <c r="E578" s="19" t="s">
        <v>842</v>
      </c>
      <c r="F578" s="19" t="s">
        <v>866</v>
      </c>
      <c r="G578" s="19" t="s">
        <v>890</v>
      </c>
      <c r="H578" s="19" t="s">
        <v>963</v>
      </c>
      <c r="I578" s="19" t="s">
        <v>1001</v>
      </c>
      <c r="J578" s="19" t="s">
        <v>1006</v>
      </c>
      <c r="K578" s="24">
        <v>46162</v>
      </c>
      <c r="L578" s="26">
        <v>46162.17361111111</v>
      </c>
      <c r="M578" s="26">
        <v>46162.64027777778</v>
      </c>
      <c r="N578" s="21">
        <v>0</v>
      </c>
      <c r="O578" s="23">
        <v>4700.23</v>
      </c>
      <c r="P578" s="19" t="s">
        <v>1015</v>
      </c>
      <c r="Q578" s="20">
        <v>0</v>
      </c>
      <c r="R578" s="19" t="s">
        <v>1023</v>
      </c>
      <c r="S578" s="19"/>
    </row>
    <row r="579" spans="1:19">
      <c r="A579" s="19" t="s">
        <v>578</v>
      </c>
      <c r="B579" s="19" t="s">
        <v>823</v>
      </c>
      <c r="C579" s="19" t="s">
        <v>828</v>
      </c>
      <c r="D579" s="20">
        <v>0</v>
      </c>
      <c r="E579" s="19" t="s">
        <v>856</v>
      </c>
      <c r="F579" s="19" t="s">
        <v>880</v>
      </c>
      <c r="G579" s="19" t="s">
        <v>904</v>
      </c>
      <c r="H579" s="19" t="s">
        <v>911</v>
      </c>
      <c r="I579" s="19" t="s">
        <v>989</v>
      </c>
      <c r="J579" s="19" t="s">
        <v>1004</v>
      </c>
      <c r="K579" s="24">
        <v>46162</v>
      </c>
      <c r="L579" s="19"/>
      <c r="M579" s="19"/>
      <c r="N579" s="21">
        <v>0</v>
      </c>
      <c r="O579" s="23">
        <v>90.45999999999999</v>
      </c>
      <c r="P579" s="19" t="s">
        <v>1014</v>
      </c>
      <c r="Q579" s="20">
        <v>0</v>
      </c>
      <c r="R579" s="19" t="s">
        <v>1023</v>
      </c>
      <c r="S579" s="19"/>
    </row>
    <row r="580" spans="1:19">
      <c r="A580" s="19" t="s">
        <v>579</v>
      </c>
      <c r="B580" s="19" t="s">
        <v>825</v>
      </c>
      <c r="C580" s="19" t="s">
        <v>830</v>
      </c>
      <c r="D580" s="20">
        <v>1</v>
      </c>
      <c r="E580" s="19" t="s">
        <v>839</v>
      </c>
      <c r="F580" s="19" t="s">
        <v>863</v>
      </c>
      <c r="G580" s="19" t="s">
        <v>887</v>
      </c>
      <c r="H580" s="19" t="s">
        <v>980</v>
      </c>
      <c r="I580" s="19" t="s">
        <v>990</v>
      </c>
      <c r="J580" s="19" t="s">
        <v>1006</v>
      </c>
      <c r="K580" s="24">
        <v>46163</v>
      </c>
      <c r="L580" s="26">
        <v>46163.27083333334</v>
      </c>
      <c r="M580" s="26">
        <v>46163.92083333333</v>
      </c>
      <c r="N580" s="21">
        <v>0</v>
      </c>
      <c r="O580" s="23">
        <v>2102.13</v>
      </c>
      <c r="P580" s="19" t="s">
        <v>1015</v>
      </c>
      <c r="Q580" s="20">
        <v>0</v>
      </c>
      <c r="R580" s="19" t="s">
        <v>1022</v>
      </c>
      <c r="S580" s="19"/>
    </row>
    <row r="581" spans="1:19">
      <c r="A581" s="19" t="s">
        <v>580</v>
      </c>
      <c r="B581" s="19" t="s">
        <v>823</v>
      </c>
      <c r="C581" s="19" t="s">
        <v>828</v>
      </c>
      <c r="D581" s="20">
        <v>0</v>
      </c>
      <c r="E581" s="19" t="s">
        <v>848</v>
      </c>
      <c r="F581" s="19" t="s">
        <v>872</v>
      </c>
      <c r="G581" s="19" t="s">
        <v>896</v>
      </c>
      <c r="H581" s="19" t="s">
        <v>907</v>
      </c>
      <c r="I581" s="19" t="s">
        <v>989</v>
      </c>
      <c r="J581" s="19" t="s">
        <v>1004</v>
      </c>
      <c r="K581" s="24">
        <v>46163</v>
      </c>
      <c r="L581" s="19"/>
      <c r="M581" s="19"/>
      <c r="N581" s="21">
        <v>0</v>
      </c>
      <c r="O581" s="23">
        <v>1424.52</v>
      </c>
      <c r="P581" s="19" t="s">
        <v>1014</v>
      </c>
      <c r="Q581" s="20">
        <v>0</v>
      </c>
      <c r="R581" s="19" t="s">
        <v>1022</v>
      </c>
      <c r="S581" s="19"/>
    </row>
    <row r="582" spans="1:19">
      <c r="A582" s="19" t="s">
        <v>581</v>
      </c>
      <c r="B582" s="19" t="s">
        <v>823</v>
      </c>
      <c r="C582" s="19" t="s">
        <v>828</v>
      </c>
      <c r="D582" s="20">
        <v>0</v>
      </c>
      <c r="E582" s="19" t="s">
        <v>846</v>
      </c>
      <c r="F582" s="19" t="s">
        <v>870</v>
      </c>
      <c r="G582" s="19" t="s">
        <v>894</v>
      </c>
      <c r="H582" s="19" t="s">
        <v>907</v>
      </c>
      <c r="I582" s="19" t="s">
        <v>989</v>
      </c>
      <c r="J582" s="19" t="s">
        <v>1004</v>
      </c>
      <c r="K582" s="24">
        <v>46163</v>
      </c>
      <c r="L582" s="19"/>
      <c r="M582" s="19"/>
      <c r="N582" s="21">
        <v>0</v>
      </c>
      <c r="O582" s="23">
        <v>231.28</v>
      </c>
      <c r="P582" s="19" t="s">
        <v>1014</v>
      </c>
      <c r="Q582" s="20">
        <v>0</v>
      </c>
      <c r="R582" s="19" t="s">
        <v>1021</v>
      </c>
      <c r="S582" s="19"/>
    </row>
    <row r="583" spans="1:19">
      <c r="A583" s="19" t="s">
        <v>582</v>
      </c>
      <c r="B583" s="19" t="s">
        <v>824</v>
      </c>
      <c r="C583" s="19" t="s">
        <v>829</v>
      </c>
      <c r="D583" s="20">
        <v>0</v>
      </c>
      <c r="E583" s="19" t="s">
        <v>848</v>
      </c>
      <c r="F583" s="19" t="s">
        <v>872</v>
      </c>
      <c r="G583" s="19" t="s">
        <v>896</v>
      </c>
      <c r="H583" s="19" t="s">
        <v>908</v>
      </c>
      <c r="I583" s="19" t="s">
        <v>989</v>
      </c>
      <c r="J583" s="19" t="s">
        <v>1004</v>
      </c>
      <c r="K583" s="24">
        <v>46163</v>
      </c>
      <c r="L583" s="19"/>
      <c r="M583" s="19"/>
      <c r="N583" s="21">
        <v>0</v>
      </c>
      <c r="O583" s="23">
        <v>600</v>
      </c>
      <c r="P583" s="19" t="s">
        <v>1015</v>
      </c>
      <c r="Q583" s="20">
        <v>0</v>
      </c>
      <c r="R583" s="19" t="s">
        <v>1022</v>
      </c>
      <c r="S583" s="19"/>
    </row>
    <row r="584" spans="1:19">
      <c r="A584" s="19" t="s">
        <v>583</v>
      </c>
      <c r="B584" s="19" t="s">
        <v>824</v>
      </c>
      <c r="C584" s="19" t="s">
        <v>829</v>
      </c>
      <c r="D584" s="20">
        <v>0</v>
      </c>
      <c r="E584" s="19" t="s">
        <v>853</v>
      </c>
      <c r="F584" s="19" t="s">
        <v>877</v>
      </c>
      <c r="G584" s="19" t="s">
        <v>901</v>
      </c>
      <c r="H584" s="19" t="s">
        <v>908</v>
      </c>
      <c r="I584" s="19" t="s">
        <v>989</v>
      </c>
      <c r="J584" s="19" t="s">
        <v>1004</v>
      </c>
      <c r="K584" s="24">
        <v>46163</v>
      </c>
      <c r="L584" s="19"/>
      <c r="M584" s="19"/>
      <c r="N584" s="21">
        <v>0</v>
      </c>
      <c r="O584" s="23">
        <v>140</v>
      </c>
      <c r="P584" s="19" t="s">
        <v>1015</v>
      </c>
      <c r="Q584" s="20">
        <v>0</v>
      </c>
      <c r="R584" s="19" t="s">
        <v>1021</v>
      </c>
      <c r="S584" s="19"/>
    </row>
    <row r="585" spans="1:19">
      <c r="A585" s="19" t="s">
        <v>584</v>
      </c>
      <c r="B585" s="19" t="s">
        <v>823</v>
      </c>
      <c r="C585" s="19" t="s">
        <v>828</v>
      </c>
      <c r="D585" s="20">
        <v>0</v>
      </c>
      <c r="E585" s="19" t="s">
        <v>845</v>
      </c>
      <c r="F585" s="19" t="s">
        <v>869</v>
      </c>
      <c r="G585" s="19" t="s">
        <v>893</v>
      </c>
      <c r="H585" s="19" t="s">
        <v>906</v>
      </c>
      <c r="I585" s="19" t="s">
        <v>989</v>
      </c>
      <c r="J585" s="19" t="s">
        <v>1004</v>
      </c>
      <c r="K585" s="24">
        <v>46165</v>
      </c>
      <c r="L585" s="19"/>
      <c r="M585" s="19"/>
      <c r="N585" s="21">
        <v>0</v>
      </c>
      <c r="O585" s="23">
        <v>851.27</v>
      </c>
      <c r="P585" s="19" t="s">
        <v>1014</v>
      </c>
      <c r="Q585" s="20">
        <v>0</v>
      </c>
      <c r="R585" s="19" t="s">
        <v>1022</v>
      </c>
      <c r="S585" s="19"/>
    </row>
    <row r="586" spans="1:19">
      <c r="A586" s="19" t="s">
        <v>585</v>
      </c>
      <c r="B586" s="19" t="s">
        <v>823</v>
      </c>
      <c r="C586" s="19" t="s">
        <v>828</v>
      </c>
      <c r="D586" s="20">
        <v>0</v>
      </c>
      <c r="E586" s="19" t="s">
        <v>851</v>
      </c>
      <c r="F586" s="19" t="s">
        <v>875</v>
      </c>
      <c r="G586" s="19" t="s">
        <v>899</v>
      </c>
      <c r="H586" s="19" t="s">
        <v>911</v>
      </c>
      <c r="I586" s="19" t="s">
        <v>989</v>
      </c>
      <c r="J586" s="19" t="s">
        <v>1004</v>
      </c>
      <c r="K586" s="24">
        <v>46165</v>
      </c>
      <c r="L586" s="19"/>
      <c r="M586" s="19"/>
      <c r="N586" s="21">
        <v>0</v>
      </c>
      <c r="O586" s="23">
        <v>452.78</v>
      </c>
      <c r="P586" s="19" t="s">
        <v>1014</v>
      </c>
      <c r="Q586" s="20">
        <v>0</v>
      </c>
      <c r="R586" s="19" t="s">
        <v>1023</v>
      </c>
      <c r="S586" s="19"/>
    </row>
    <row r="587" spans="1:19">
      <c r="A587" s="19" t="s">
        <v>586</v>
      </c>
      <c r="B587" s="19" t="s">
        <v>823</v>
      </c>
      <c r="C587" s="19" t="s">
        <v>828</v>
      </c>
      <c r="D587" s="20">
        <v>0</v>
      </c>
      <c r="E587" s="19" t="s">
        <v>853</v>
      </c>
      <c r="F587" s="19" t="s">
        <v>877</v>
      </c>
      <c r="G587" s="19" t="s">
        <v>901</v>
      </c>
      <c r="H587" s="19" t="s">
        <v>906</v>
      </c>
      <c r="I587" s="19" t="s">
        <v>989</v>
      </c>
      <c r="J587" s="19" t="s">
        <v>1004</v>
      </c>
      <c r="K587" s="24">
        <v>46165</v>
      </c>
      <c r="L587" s="19"/>
      <c r="M587" s="19"/>
      <c r="N587" s="21">
        <v>0</v>
      </c>
      <c r="O587" s="23">
        <v>371.35</v>
      </c>
      <c r="P587" s="19" t="s">
        <v>1014</v>
      </c>
      <c r="Q587" s="20">
        <v>0</v>
      </c>
      <c r="R587" s="19" t="s">
        <v>1021</v>
      </c>
      <c r="S587" s="19"/>
    </row>
    <row r="588" spans="1:19">
      <c r="A588" s="19" t="s">
        <v>587</v>
      </c>
      <c r="B588" s="19" t="s">
        <v>826</v>
      </c>
      <c r="C588" s="19" t="s">
        <v>831</v>
      </c>
      <c r="D588" s="20">
        <v>1</v>
      </c>
      <c r="E588" s="19" t="s">
        <v>843</v>
      </c>
      <c r="F588" s="19" t="s">
        <v>867</v>
      </c>
      <c r="G588" s="19" t="s">
        <v>891</v>
      </c>
      <c r="H588" s="19" t="s">
        <v>981</v>
      </c>
      <c r="I588" s="19" t="s">
        <v>1000</v>
      </c>
      <c r="J588" s="19" t="s">
        <v>1006</v>
      </c>
      <c r="K588" s="24">
        <v>46166</v>
      </c>
      <c r="L588" s="26">
        <v>46166.125</v>
      </c>
      <c r="M588" s="26">
        <v>46166.39583333334</v>
      </c>
      <c r="N588" s="21">
        <v>6.5</v>
      </c>
      <c r="O588" s="23">
        <v>3100</v>
      </c>
      <c r="P588" s="19" t="s">
        <v>1014</v>
      </c>
      <c r="Q588" s="20">
        <v>0</v>
      </c>
      <c r="R588" s="19" t="s">
        <v>1022</v>
      </c>
      <c r="S588" s="19"/>
    </row>
    <row r="589" spans="1:19">
      <c r="A589" s="19" t="s">
        <v>588</v>
      </c>
      <c r="B589" s="19" t="s">
        <v>823</v>
      </c>
      <c r="C589" s="19" t="s">
        <v>828</v>
      </c>
      <c r="D589" s="20">
        <v>0</v>
      </c>
      <c r="E589" s="19" t="s">
        <v>852</v>
      </c>
      <c r="F589" s="19" t="s">
        <v>876</v>
      </c>
      <c r="G589" s="19" t="s">
        <v>900</v>
      </c>
      <c r="H589" s="19" t="s">
        <v>909</v>
      </c>
      <c r="I589" s="19" t="s">
        <v>989</v>
      </c>
      <c r="J589" s="19" t="s">
        <v>1004</v>
      </c>
      <c r="K589" s="24">
        <v>46166</v>
      </c>
      <c r="L589" s="19"/>
      <c r="M589" s="19"/>
      <c r="N589" s="21">
        <v>0</v>
      </c>
      <c r="O589" s="23">
        <v>1114.97</v>
      </c>
      <c r="P589" s="19" t="s">
        <v>1014</v>
      </c>
      <c r="Q589" s="20">
        <v>0</v>
      </c>
      <c r="R589" s="19" t="s">
        <v>1023</v>
      </c>
      <c r="S589" s="19"/>
    </row>
    <row r="590" spans="1:19">
      <c r="A590" s="19" t="s">
        <v>589</v>
      </c>
      <c r="B590" s="19" t="s">
        <v>824</v>
      </c>
      <c r="C590" s="19" t="s">
        <v>829</v>
      </c>
      <c r="D590" s="20">
        <v>0</v>
      </c>
      <c r="E590" s="19" t="s">
        <v>842</v>
      </c>
      <c r="F590" s="19" t="s">
        <v>866</v>
      </c>
      <c r="G590" s="19" t="s">
        <v>890</v>
      </c>
      <c r="H590" s="19" t="s">
        <v>908</v>
      </c>
      <c r="I590" s="19" t="s">
        <v>989</v>
      </c>
      <c r="J590" s="19" t="s">
        <v>1004</v>
      </c>
      <c r="K590" s="24">
        <v>46166</v>
      </c>
      <c r="L590" s="19"/>
      <c r="M590" s="19"/>
      <c r="N590" s="21">
        <v>0</v>
      </c>
      <c r="O590" s="23">
        <v>320</v>
      </c>
      <c r="P590" s="19" t="s">
        <v>1015</v>
      </c>
      <c r="Q590" s="20">
        <v>0</v>
      </c>
      <c r="R590" s="19" t="s">
        <v>1021</v>
      </c>
      <c r="S590" s="19"/>
    </row>
    <row r="591" spans="1:19">
      <c r="A591" s="19" t="s">
        <v>590</v>
      </c>
      <c r="B591" s="19" t="s">
        <v>825</v>
      </c>
      <c r="C591" s="19" t="s">
        <v>830</v>
      </c>
      <c r="D591" s="20">
        <v>1</v>
      </c>
      <c r="E591" s="19" t="s">
        <v>846</v>
      </c>
      <c r="F591" s="19" t="s">
        <v>870</v>
      </c>
      <c r="G591" s="19" t="s">
        <v>894</v>
      </c>
      <c r="H591" s="19" t="s">
        <v>931</v>
      </c>
      <c r="I591" s="19" t="s">
        <v>993</v>
      </c>
      <c r="J591" s="19" t="s">
        <v>1006</v>
      </c>
      <c r="K591" s="24">
        <v>46167</v>
      </c>
      <c r="L591" s="26">
        <v>46167.49444444444</v>
      </c>
      <c r="M591" s="26">
        <v>46167.73194444444</v>
      </c>
      <c r="N591" s="21">
        <v>0</v>
      </c>
      <c r="O591" s="23">
        <v>4090.85</v>
      </c>
      <c r="P591" s="19" t="s">
        <v>1014</v>
      </c>
      <c r="Q591" s="20">
        <v>0</v>
      </c>
      <c r="R591" s="19" t="s">
        <v>1021</v>
      </c>
      <c r="S591" s="19"/>
    </row>
    <row r="592" spans="1:19">
      <c r="A592" s="19" t="s">
        <v>591</v>
      </c>
      <c r="B592" s="19" t="s">
        <v>825</v>
      </c>
      <c r="C592" s="19" t="s">
        <v>830</v>
      </c>
      <c r="D592" s="20">
        <v>1</v>
      </c>
      <c r="E592" s="19" t="s">
        <v>839</v>
      </c>
      <c r="F592" s="19" t="s">
        <v>863</v>
      </c>
      <c r="G592" s="19" t="s">
        <v>887</v>
      </c>
      <c r="H592" s="19" t="s">
        <v>946</v>
      </c>
      <c r="I592" s="19" t="s">
        <v>990</v>
      </c>
      <c r="J592" s="19" t="s">
        <v>1005</v>
      </c>
      <c r="K592" s="24">
        <v>46168</v>
      </c>
      <c r="L592" s="26">
        <v>46168.475</v>
      </c>
      <c r="M592" s="26">
        <v>46168.5625</v>
      </c>
      <c r="N592" s="21">
        <v>0</v>
      </c>
      <c r="O592" s="23">
        <v>3126.49</v>
      </c>
      <c r="P592" s="19" t="s">
        <v>1014</v>
      </c>
      <c r="Q592" s="20">
        <v>0</v>
      </c>
      <c r="R592" s="19" t="s">
        <v>1023</v>
      </c>
      <c r="S592" s="19" t="s">
        <v>1026</v>
      </c>
    </row>
    <row r="593" spans="1:19">
      <c r="A593" s="19" t="s">
        <v>592</v>
      </c>
      <c r="B593" s="19" t="s">
        <v>825</v>
      </c>
      <c r="C593" s="19" t="s">
        <v>830</v>
      </c>
      <c r="D593" s="20">
        <v>1</v>
      </c>
      <c r="E593" s="19" t="s">
        <v>847</v>
      </c>
      <c r="F593" s="19" t="s">
        <v>871</v>
      </c>
      <c r="G593" s="19" t="s">
        <v>895</v>
      </c>
      <c r="H593" s="19" t="s">
        <v>967</v>
      </c>
      <c r="I593" s="19" t="s">
        <v>1001</v>
      </c>
      <c r="J593" s="19" t="s">
        <v>1005</v>
      </c>
      <c r="K593" s="24">
        <v>46169</v>
      </c>
      <c r="L593" s="26">
        <v>46169.1625</v>
      </c>
      <c r="M593" s="26">
        <v>46169.4</v>
      </c>
      <c r="N593" s="21">
        <v>5.7</v>
      </c>
      <c r="O593" s="23">
        <v>3954.51</v>
      </c>
      <c r="P593" s="19" t="s">
        <v>1014</v>
      </c>
      <c r="Q593" s="20">
        <v>0</v>
      </c>
      <c r="R593" s="19" t="s">
        <v>1023</v>
      </c>
      <c r="S593" s="19" t="s">
        <v>1035</v>
      </c>
    </row>
    <row r="594" spans="1:19">
      <c r="A594" s="19" t="s">
        <v>593</v>
      </c>
      <c r="B594" s="19" t="s">
        <v>823</v>
      </c>
      <c r="C594" s="19" t="s">
        <v>828</v>
      </c>
      <c r="D594" s="20">
        <v>0</v>
      </c>
      <c r="E594" s="19" t="s">
        <v>854</v>
      </c>
      <c r="F594" s="19" t="s">
        <v>878</v>
      </c>
      <c r="G594" s="19" t="s">
        <v>902</v>
      </c>
      <c r="H594" s="19" t="s">
        <v>917</v>
      </c>
      <c r="I594" s="19" t="s">
        <v>989</v>
      </c>
      <c r="J594" s="19" t="s">
        <v>1004</v>
      </c>
      <c r="K594" s="24">
        <v>46169</v>
      </c>
      <c r="L594" s="19"/>
      <c r="M594" s="19"/>
      <c r="N594" s="21">
        <v>0</v>
      </c>
      <c r="O594" s="23">
        <v>239.81</v>
      </c>
      <c r="P594" s="19" t="s">
        <v>1014</v>
      </c>
      <c r="Q594" s="20">
        <v>0</v>
      </c>
      <c r="R594" s="19" t="s">
        <v>1023</v>
      </c>
      <c r="S594" s="19"/>
    </row>
    <row r="595" spans="1:19">
      <c r="A595" s="19" t="s">
        <v>594</v>
      </c>
      <c r="B595" s="19" t="s">
        <v>823</v>
      </c>
      <c r="C595" s="19" t="s">
        <v>828</v>
      </c>
      <c r="D595" s="20">
        <v>0</v>
      </c>
      <c r="E595" s="19" t="s">
        <v>849</v>
      </c>
      <c r="F595" s="19" t="s">
        <v>873</v>
      </c>
      <c r="G595" s="19" t="s">
        <v>897</v>
      </c>
      <c r="H595" s="19" t="s">
        <v>912</v>
      </c>
      <c r="I595" s="19" t="s">
        <v>989</v>
      </c>
      <c r="J595" s="19" t="s">
        <v>1004</v>
      </c>
      <c r="K595" s="24">
        <v>46169</v>
      </c>
      <c r="L595" s="19"/>
      <c r="M595" s="19"/>
      <c r="N595" s="21">
        <v>0</v>
      </c>
      <c r="O595" s="23">
        <v>1834.65</v>
      </c>
      <c r="P595" s="19" t="s">
        <v>1014</v>
      </c>
      <c r="Q595" s="20">
        <v>0</v>
      </c>
      <c r="R595" s="19" t="s">
        <v>1022</v>
      </c>
      <c r="S595" s="19"/>
    </row>
    <row r="596" spans="1:19">
      <c r="A596" s="19" t="s">
        <v>595</v>
      </c>
      <c r="B596" s="19" t="s">
        <v>824</v>
      </c>
      <c r="C596" s="19" t="s">
        <v>829</v>
      </c>
      <c r="D596" s="20">
        <v>0</v>
      </c>
      <c r="E596" s="19" t="s">
        <v>841</v>
      </c>
      <c r="F596" s="19" t="s">
        <v>865</v>
      </c>
      <c r="G596" s="19" t="s">
        <v>889</v>
      </c>
      <c r="H596" s="19" t="s">
        <v>925</v>
      </c>
      <c r="I596" s="19" t="s">
        <v>989</v>
      </c>
      <c r="J596" s="19" t="s">
        <v>1004</v>
      </c>
      <c r="K596" s="24">
        <v>46169</v>
      </c>
      <c r="L596" s="19"/>
      <c r="M596" s="19"/>
      <c r="N596" s="21">
        <v>0</v>
      </c>
      <c r="O596" s="23">
        <v>480</v>
      </c>
      <c r="P596" s="19" t="s">
        <v>1014</v>
      </c>
      <c r="Q596" s="20">
        <v>0</v>
      </c>
      <c r="R596" s="19" t="s">
        <v>1022</v>
      </c>
      <c r="S596" s="19"/>
    </row>
    <row r="597" spans="1:19">
      <c r="A597" s="19" t="s">
        <v>596</v>
      </c>
      <c r="B597" s="19" t="s">
        <v>826</v>
      </c>
      <c r="C597" s="19" t="s">
        <v>831</v>
      </c>
      <c r="D597" s="20">
        <v>1</v>
      </c>
      <c r="E597" s="19" t="s">
        <v>852</v>
      </c>
      <c r="F597" s="19" t="s">
        <v>876</v>
      </c>
      <c r="G597" s="19" t="s">
        <v>900</v>
      </c>
      <c r="H597" s="19" t="s">
        <v>949</v>
      </c>
      <c r="I597" s="19" t="s">
        <v>998</v>
      </c>
      <c r="J597" s="19" t="s">
        <v>1006</v>
      </c>
      <c r="K597" s="24">
        <v>46170</v>
      </c>
      <c r="L597" s="26">
        <v>46170.26319444444</v>
      </c>
      <c r="M597" s="26">
        <v>46171.11319444444</v>
      </c>
      <c r="N597" s="21">
        <v>20.4</v>
      </c>
      <c r="O597" s="23">
        <v>6265.87</v>
      </c>
      <c r="P597" s="19" t="s">
        <v>1014</v>
      </c>
      <c r="Q597" s="20">
        <v>0</v>
      </c>
      <c r="R597" s="19" t="s">
        <v>1022</v>
      </c>
      <c r="S597" s="19"/>
    </row>
    <row r="598" spans="1:19">
      <c r="A598" s="19" t="s">
        <v>597</v>
      </c>
      <c r="B598" s="19" t="s">
        <v>823</v>
      </c>
      <c r="C598" s="19" t="s">
        <v>828</v>
      </c>
      <c r="D598" s="20">
        <v>0</v>
      </c>
      <c r="E598" s="19" t="s">
        <v>844</v>
      </c>
      <c r="F598" s="19" t="s">
        <v>868</v>
      </c>
      <c r="G598" s="19" t="s">
        <v>892</v>
      </c>
      <c r="H598" s="19" t="s">
        <v>917</v>
      </c>
      <c r="I598" s="19" t="s">
        <v>989</v>
      </c>
      <c r="J598" s="19" t="s">
        <v>1004</v>
      </c>
      <c r="K598" s="24">
        <v>46170</v>
      </c>
      <c r="L598" s="19"/>
      <c r="M598" s="19"/>
      <c r="N598" s="21">
        <v>0</v>
      </c>
      <c r="O598" s="23">
        <v>445.79</v>
      </c>
      <c r="P598" s="19" t="s">
        <v>1014</v>
      </c>
      <c r="Q598" s="20">
        <v>0</v>
      </c>
      <c r="R598" s="19" t="s">
        <v>1022</v>
      </c>
      <c r="S598" s="19"/>
    </row>
    <row r="599" spans="1:19">
      <c r="A599" s="19" t="s">
        <v>598</v>
      </c>
      <c r="B599" s="19" t="s">
        <v>823</v>
      </c>
      <c r="C599" s="19" t="s">
        <v>828</v>
      </c>
      <c r="D599" s="20">
        <v>0</v>
      </c>
      <c r="E599" s="19" t="s">
        <v>843</v>
      </c>
      <c r="F599" s="19" t="s">
        <v>867</v>
      </c>
      <c r="G599" s="19" t="s">
        <v>891</v>
      </c>
      <c r="H599" s="19" t="s">
        <v>907</v>
      </c>
      <c r="I599" s="19" t="s">
        <v>989</v>
      </c>
      <c r="J599" s="19" t="s">
        <v>1004</v>
      </c>
      <c r="K599" s="24">
        <v>46171</v>
      </c>
      <c r="L599" s="19"/>
      <c r="M599" s="19"/>
      <c r="N599" s="21">
        <v>0</v>
      </c>
      <c r="O599" s="23">
        <v>249.69</v>
      </c>
      <c r="P599" s="19" t="s">
        <v>1015</v>
      </c>
      <c r="Q599" s="20">
        <v>0</v>
      </c>
      <c r="R599" s="19" t="s">
        <v>1021</v>
      </c>
      <c r="S599" s="19"/>
    </row>
    <row r="600" spans="1:19">
      <c r="A600" s="19" t="s">
        <v>599</v>
      </c>
      <c r="B600" s="19" t="s">
        <v>823</v>
      </c>
      <c r="C600" s="19" t="s">
        <v>828</v>
      </c>
      <c r="D600" s="20">
        <v>0</v>
      </c>
      <c r="E600" s="19" t="s">
        <v>838</v>
      </c>
      <c r="F600" s="19" t="s">
        <v>862</v>
      </c>
      <c r="G600" s="19" t="s">
        <v>886</v>
      </c>
      <c r="H600" s="19" t="s">
        <v>909</v>
      </c>
      <c r="I600" s="19" t="s">
        <v>989</v>
      </c>
      <c r="J600" s="19" t="s">
        <v>1004</v>
      </c>
      <c r="K600" s="24">
        <v>46171</v>
      </c>
      <c r="L600" s="19"/>
      <c r="M600" s="19"/>
      <c r="N600" s="21">
        <v>0</v>
      </c>
      <c r="O600" s="23">
        <v>290.26</v>
      </c>
      <c r="P600" s="19" t="s">
        <v>1015</v>
      </c>
      <c r="Q600" s="20">
        <v>0</v>
      </c>
      <c r="R600" s="19" t="s">
        <v>1023</v>
      </c>
      <c r="S600" s="19"/>
    </row>
    <row r="601" spans="1:19">
      <c r="A601" s="19" t="s">
        <v>600</v>
      </c>
      <c r="B601" s="19" t="s">
        <v>823</v>
      </c>
      <c r="C601" s="19" t="s">
        <v>828</v>
      </c>
      <c r="D601" s="20">
        <v>0</v>
      </c>
      <c r="E601" s="19" t="s">
        <v>835</v>
      </c>
      <c r="F601" s="19" t="s">
        <v>859</v>
      </c>
      <c r="G601" s="19" t="s">
        <v>883</v>
      </c>
      <c r="H601" s="19" t="s">
        <v>911</v>
      </c>
      <c r="I601" s="19" t="s">
        <v>989</v>
      </c>
      <c r="J601" s="19" t="s">
        <v>1004</v>
      </c>
      <c r="K601" s="24">
        <v>46171</v>
      </c>
      <c r="L601" s="19"/>
      <c r="M601" s="19"/>
      <c r="N601" s="21">
        <v>0</v>
      </c>
      <c r="O601" s="23">
        <v>415.99</v>
      </c>
      <c r="P601" s="19" t="s">
        <v>1015</v>
      </c>
      <c r="Q601" s="20">
        <v>0</v>
      </c>
      <c r="R601" s="19" t="s">
        <v>1023</v>
      </c>
      <c r="S601" s="19"/>
    </row>
    <row r="602" spans="1:19">
      <c r="A602" s="19" t="s">
        <v>601</v>
      </c>
      <c r="B602" s="19" t="s">
        <v>823</v>
      </c>
      <c r="C602" s="19" t="s">
        <v>828</v>
      </c>
      <c r="D602" s="20">
        <v>0</v>
      </c>
      <c r="E602" s="19" t="s">
        <v>836</v>
      </c>
      <c r="F602" s="19" t="s">
        <v>860</v>
      </c>
      <c r="G602" s="19" t="s">
        <v>884</v>
      </c>
      <c r="H602" s="19" t="s">
        <v>912</v>
      </c>
      <c r="I602" s="19" t="s">
        <v>989</v>
      </c>
      <c r="J602" s="19" t="s">
        <v>1004</v>
      </c>
      <c r="K602" s="24">
        <v>46171</v>
      </c>
      <c r="L602" s="19"/>
      <c r="M602" s="19"/>
      <c r="N602" s="21">
        <v>0</v>
      </c>
      <c r="O602" s="23">
        <v>421.54</v>
      </c>
      <c r="P602" s="19" t="s">
        <v>1014</v>
      </c>
      <c r="Q602" s="20">
        <v>0</v>
      </c>
      <c r="R602" s="19" t="s">
        <v>1022</v>
      </c>
      <c r="S602" s="19"/>
    </row>
    <row r="603" spans="1:19">
      <c r="A603" s="19" t="s">
        <v>602</v>
      </c>
      <c r="B603" s="19" t="s">
        <v>823</v>
      </c>
      <c r="C603" s="19" t="s">
        <v>828</v>
      </c>
      <c r="D603" s="20">
        <v>0</v>
      </c>
      <c r="E603" s="19" t="s">
        <v>842</v>
      </c>
      <c r="F603" s="19" t="s">
        <v>866</v>
      </c>
      <c r="G603" s="19" t="s">
        <v>890</v>
      </c>
      <c r="H603" s="19" t="s">
        <v>912</v>
      </c>
      <c r="I603" s="19" t="s">
        <v>989</v>
      </c>
      <c r="J603" s="19" t="s">
        <v>1004</v>
      </c>
      <c r="K603" s="24">
        <v>46171</v>
      </c>
      <c r="L603" s="19"/>
      <c r="M603" s="19"/>
      <c r="N603" s="21">
        <v>0</v>
      </c>
      <c r="O603" s="23">
        <v>695.95</v>
      </c>
      <c r="P603" s="19" t="s">
        <v>1015</v>
      </c>
      <c r="Q603" s="20">
        <v>0</v>
      </c>
      <c r="R603" s="19" t="s">
        <v>1021</v>
      </c>
      <c r="S603" s="19"/>
    </row>
    <row r="604" spans="1:19">
      <c r="A604" s="19" t="s">
        <v>603</v>
      </c>
      <c r="B604" s="19" t="s">
        <v>824</v>
      </c>
      <c r="C604" s="19" t="s">
        <v>829</v>
      </c>
      <c r="D604" s="20">
        <v>0</v>
      </c>
      <c r="E604" s="19" t="s">
        <v>836</v>
      </c>
      <c r="F604" s="19" t="s">
        <v>860</v>
      </c>
      <c r="G604" s="19" t="s">
        <v>884</v>
      </c>
      <c r="H604" s="19" t="s">
        <v>925</v>
      </c>
      <c r="I604" s="19" t="s">
        <v>989</v>
      </c>
      <c r="J604" s="19" t="s">
        <v>1004</v>
      </c>
      <c r="K604" s="24">
        <v>46171</v>
      </c>
      <c r="L604" s="19"/>
      <c r="M604" s="19"/>
      <c r="N604" s="21">
        <v>0</v>
      </c>
      <c r="O604" s="23">
        <v>120</v>
      </c>
      <c r="P604" s="19" t="s">
        <v>1014</v>
      </c>
      <c r="Q604" s="20">
        <v>0</v>
      </c>
      <c r="R604" s="19" t="s">
        <v>1022</v>
      </c>
      <c r="S604" s="19"/>
    </row>
    <row r="605" spans="1:19">
      <c r="A605" s="19" t="s">
        <v>604</v>
      </c>
      <c r="B605" s="19" t="s">
        <v>824</v>
      </c>
      <c r="C605" s="19" t="s">
        <v>829</v>
      </c>
      <c r="D605" s="20">
        <v>0</v>
      </c>
      <c r="E605" s="19" t="s">
        <v>838</v>
      </c>
      <c r="F605" s="19" t="s">
        <v>862</v>
      </c>
      <c r="G605" s="19" t="s">
        <v>886</v>
      </c>
      <c r="H605" s="19" t="s">
        <v>925</v>
      </c>
      <c r="I605" s="19" t="s">
        <v>989</v>
      </c>
      <c r="J605" s="19" t="s">
        <v>1004</v>
      </c>
      <c r="K605" s="24">
        <v>46172</v>
      </c>
      <c r="L605" s="19"/>
      <c r="M605" s="19"/>
      <c r="N605" s="21">
        <v>0</v>
      </c>
      <c r="O605" s="23">
        <v>80</v>
      </c>
      <c r="P605" s="19" t="s">
        <v>1015</v>
      </c>
      <c r="Q605" s="20">
        <v>0</v>
      </c>
      <c r="R605" s="19" t="s">
        <v>1021</v>
      </c>
      <c r="S605" s="19"/>
    </row>
    <row r="606" spans="1:19">
      <c r="A606" s="19" t="s">
        <v>605</v>
      </c>
      <c r="B606" s="19" t="s">
        <v>824</v>
      </c>
      <c r="C606" s="19" t="s">
        <v>829</v>
      </c>
      <c r="D606" s="20">
        <v>0</v>
      </c>
      <c r="E606" s="19" t="s">
        <v>839</v>
      </c>
      <c r="F606" s="19" t="s">
        <v>863</v>
      </c>
      <c r="G606" s="19" t="s">
        <v>887</v>
      </c>
      <c r="H606" s="19" t="s">
        <v>925</v>
      </c>
      <c r="I606" s="19" t="s">
        <v>989</v>
      </c>
      <c r="J606" s="19" t="s">
        <v>1004</v>
      </c>
      <c r="K606" s="24">
        <v>46172</v>
      </c>
      <c r="L606" s="19"/>
      <c r="M606" s="19"/>
      <c r="N606" s="21">
        <v>0</v>
      </c>
      <c r="O606" s="23">
        <v>160</v>
      </c>
      <c r="P606" s="19" t="s">
        <v>1015</v>
      </c>
      <c r="Q606" s="20">
        <v>0</v>
      </c>
      <c r="R606" s="19" t="s">
        <v>1022</v>
      </c>
      <c r="S606" s="19"/>
    </row>
    <row r="607" spans="1:19">
      <c r="A607" s="19" t="s">
        <v>606</v>
      </c>
      <c r="B607" s="19" t="s">
        <v>824</v>
      </c>
      <c r="C607" s="19" t="s">
        <v>829</v>
      </c>
      <c r="D607" s="20">
        <v>0</v>
      </c>
      <c r="E607" s="19" t="s">
        <v>855</v>
      </c>
      <c r="F607" s="19" t="s">
        <v>879</v>
      </c>
      <c r="G607" s="19" t="s">
        <v>903</v>
      </c>
      <c r="H607" s="19" t="s">
        <v>914</v>
      </c>
      <c r="I607" s="19" t="s">
        <v>989</v>
      </c>
      <c r="J607" s="19" t="s">
        <v>1004</v>
      </c>
      <c r="K607" s="24">
        <v>46172</v>
      </c>
      <c r="L607" s="19"/>
      <c r="M607" s="19"/>
      <c r="N607" s="21">
        <v>0</v>
      </c>
      <c r="O607" s="23">
        <v>100</v>
      </c>
      <c r="P607" s="19" t="s">
        <v>1014</v>
      </c>
      <c r="Q607" s="20">
        <v>0</v>
      </c>
      <c r="R607" s="19" t="s">
        <v>1023</v>
      </c>
      <c r="S607" s="19"/>
    </row>
    <row r="608" spans="1:19">
      <c r="A608" s="19" t="s">
        <v>607</v>
      </c>
      <c r="B608" s="19" t="s">
        <v>823</v>
      </c>
      <c r="C608" s="19" t="s">
        <v>828</v>
      </c>
      <c r="D608" s="20">
        <v>0</v>
      </c>
      <c r="E608" s="19" t="s">
        <v>834</v>
      </c>
      <c r="F608" s="19" t="s">
        <v>858</v>
      </c>
      <c r="G608" s="19" t="s">
        <v>882</v>
      </c>
      <c r="H608" s="19" t="s">
        <v>907</v>
      </c>
      <c r="I608" s="19" t="s">
        <v>989</v>
      </c>
      <c r="J608" s="19" t="s">
        <v>1004</v>
      </c>
      <c r="K608" s="24">
        <v>46173</v>
      </c>
      <c r="L608" s="19"/>
      <c r="M608" s="19"/>
      <c r="N608" s="21">
        <v>0</v>
      </c>
      <c r="O608" s="23">
        <v>580.02</v>
      </c>
      <c r="P608" s="19" t="s">
        <v>1014</v>
      </c>
      <c r="Q608" s="20">
        <v>0</v>
      </c>
      <c r="R608" s="19" t="s">
        <v>1023</v>
      </c>
      <c r="S608" s="19"/>
    </row>
    <row r="609" spans="1:19">
      <c r="A609" s="19" t="s">
        <v>608</v>
      </c>
      <c r="B609" s="19" t="s">
        <v>823</v>
      </c>
      <c r="C609" s="19" t="s">
        <v>828</v>
      </c>
      <c r="D609" s="20">
        <v>0</v>
      </c>
      <c r="E609" s="19" t="s">
        <v>850</v>
      </c>
      <c r="F609" s="19" t="s">
        <v>874</v>
      </c>
      <c r="G609" s="19" t="s">
        <v>898</v>
      </c>
      <c r="H609" s="19" t="s">
        <v>907</v>
      </c>
      <c r="I609" s="19" t="s">
        <v>989</v>
      </c>
      <c r="J609" s="19" t="s">
        <v>1004</v>
      </c>
      <c r="K609" s="24">
        <v>46174</v>
      </c>
      <c r="L609" s="19"/>
      <c r="M609" s="19"/>
      <c r="N609" s="21">
        <v>0</v>
      </c>
      <c r="O609" s="23">
        <v>471.82</v>
      </c>
      <c r="P609" s="19" t="s">
        <v>1014</v>
      </c>
      <c r="Q609" s="20">
        <v>0</v>
      </c>
      <c r="R609" s="19" t="s">
        <v>1021</v>
      </c>
      <c r="S609" s="19"/>
    </row>
    <row r="610" spans="1:19">
      <c r="A610" s="19" t="s">
        <v>609</v>
      </c>
      <c r="B610" s="19" t="s">
        <v>825</v>
      </c>
      <c r="C610" s="19" t="s">
        <v>830</v>
      </c>
      <c r="D610" s="20">
        <v>1</v>
      </c>
      <c r="E610" s="19" t="s">
        <v>837</v>
      </c>
      <c r="F610" s="19" t="s">
        <v>861</v>
      </c>
      <c r="G610" s="19" t="s">
        <v>885</v>
      </c>
      <c r="H610" s="19" t="s">
        <v>966</v>
      </c>
      <c r="I610" s="19" t="s">
        <v>1002</v>
      </c>
      <c r="J610" s="19" t="s">
        <v>1006</v>
      </c>
      <c r="K610" s="24">
        <v>46175</v>
      </c>
      <c r="L610" s="26">
        <v>46175.01111111111</v>
      </c>
      <c r="M610" s="26">
        <v>46175.18611111111</v>
      </c>
      <c r="N610" s="21">
        <v>0</v>
      </c>
      <c r="O610" s="23">
        <v>3998.61</v>
      </c>
      <c r="P610" s="19" t="s">
        <v>1014</v>
      </c>
      <c r="Q610" s="20">
        <v>0</v>
      </c>
      <c r="R610" s="19" t="s">
        <v>1023</v>
      </c>
      <c r="S610" s="19"/>
    </row>
    <row r="611" spans="1:19">
      <c r="A611" s="19" t="s">
        <v>610</v>
      </c>
      <c r="B611" s="19" t="s">
        <v>825</v>
      </c>
      <c r="C611" s="19" t="s">
        <v>830</v>
      </c>
      <c r="D611" s="20">
        <v>1</v>
      </c>
      <c r="E611" s="19" t="s">
        <v>846</v>
      </c>
      <c r="F611" s="19" t="s">
        <v>870</v>
      </c>
      <c r="G611" s="19" t="s">
        <v>894</v>
      </c>
      <c r="H611" s="19" t="s">
        <v>967</v>
      </c>
      <c r="I611" s="19" t="s">
        <v>1001</v>
      </c>
      <c r="J611" s="19" t="s">
        <v>1006</v>
      </c>
      <c r="K611" s="24">
        <v>46175</v>
      </c>
      <c r="L611" s="26">
        <v>46175.04166666666</v>
      </c>
      <c r="M611" s="26">
        <v>46175.4625</v>
      </c>
      <c r="N611" s="21">
        <v>10.1</v>
      </c>
      <c r="O611" s="23">
        <v>1385.33</v>
      </c>
      <c r="P611" s="19" t="s">
        <v>1014</v>
      </c>
      <c r="Q611" s="20">
        <v>0</v>
      </c>
      <c r="R611" s="19" t="s">
        <v>1023</v>
      </c>
      <c r="S611" s="19"/>
    </row>
    <row r="612" spans="1:19">
      <c r="A612" s="19" t="s">
        <v>611</v>
      </c>
      <c r="B612" s="19" t="s">
        <v>825</v>
      </c>
      <c r="C612" s="19" t="s">
        <v>830</v>
      </c>
      <c r="D612" s="20">
        <v>1</v>
      </c>
      <c r="E612" s="19" t="s">
        <v>849</v>
      </c>
      <c r="F612" s="19" t="s">
        <v>873</v>
      </c>
      <c r="G612" s="19" t="s">
        <v>897</v>
      </c>
      <c r="H612" s="19" t="s">
        <v>982</v>
      </c>
      <c r="I612" s="19" t="s">
        <v>1001</v>
      </c>
      <c r="J612" s="19" t="s">
        <v>1005</v>
      </c>
      <c r="K612" s="24">
        <v>46175</v>
      </c>
      <c r="L612" s="26">
        <v>46175.07013888889</v>
      </c>
      <c r="M612" s="26">
        <v>46175.60763888889</v>
      </c>
      <c r="N612" s="21">
        <v>12.9</v>
      </c>
      <c r="O612" s="23">
        <v>13177.21</v>
      </c>
      <c r="P612" s="19" t="s">
        <v>1015</v>
      </c>
      <c r="Q612" s="20">
        <v>0</v>
      </c>
      <c r="R612" s="19" t="s">
        <v>1021</v>
      </c>
      <c r="S612" s="19" t="s">
        <v>1035</v>
      </c>
    </row>
    <row r="613" spans="1:19">
      <c r="A613" s="19" t="s">
        <v>612</v>
      </c>
      <c r="B613" s="19" t="s">
        <v>823</v>
      </c>
      <c r="C613" s="19" t="s">
        <v>828</v>
      </c>
      <c r="D613" s="20">
        <v>0</v>
      </c>
      <c r="E613" s="19" t="s">
        <v>841</v>
      </c>
      <c r="F613" s="19" t="s">
        <v>865</v>
      </c>
      <c r="G613" s="19" t="s">
        <v>889</v>
      </c>
      <c r="H613" s="19" t="s">
        <v>924</v>
      </c>
      <c r="I613" s="19" t="s">
        <v>989</v>
      </c>
      <c r="J613" s="19" t="s">
        <v>1004</v>
      </c>
      <c r="K613" s="24">
        <v>46175</v>
      </c>
      <c r="L613" s="19"/>
      <c r="M613" s="19"/>
      <c r="N613" s="21">
        <v>0</v>
      </c>
      <c r="O613" s="23">
        <v>1949.44</v>
      </c>
      <c r="P613" s="19" t="s">
        <v>1015</v>
      </c>
      <c r="Q613" s="20">
        <v>0</v>
      </c>
      <c r="R613" s="19" t="s">
        <v>1023</v>
      </c>
      <c r="S613" s="19"/>
    </row>
    <row r="614" spans="1:19">
      <c r="A614" s="19" t="s">
        <v>613</v>
      </c>
      <c r="B614" s="19" t="s">
        <v>824</v>
      </c>
      <c r="C614" s="19" t="s">
        <v>829</v>
      </c>
      <c r="D614" s="20">
        <v>0</v>
      </c>
      <c r="E614" s="19" t="s">
        <v>837</v>
      </c>
      <c r="F614" s="19" t="s">
        <v>861</v>
      </c>
      <c r="G614" s="19" t="s">
        <v>885</v>
      </c>
      <c r="H614" s="19" t="s">
        <v>914</v>
      </c>
      <c r="I614" s="19" t="s">
        <v>989</v>
      </c>
      <c r="J614" s="19" t="s">
        <v>1004</v>
      </c>
      <c r="K614" s="24">
        <v>46175</v>
      </c>
      <c r="L614" s="19"/>
      <c r="M614" s="19"/>
      <c r="N614" s="21">
        <v>0</v>
      </c>
      <c r="O614" s="23">
        <v>260</v>
      </c>
      <c r="P614" s="19" t="s">
        <v>1015</v>
      </c>
      <c r="Q614" s="20">
        <v>0</v>
      </c>
      <c r="R614" s="19" t="s">
        <v>1023</v>
      </c>
      <c r="S614" s="19"/>
    </row>
    <row r="615" spans="1:19">
      <c r="A615" s="19" t="s">
        <v>614</v>
      </c>
      <c r="B615" s="19" t="s">
        <v>826</v>
      </c>
      <c r="C615" s="19" t="s">
        <v>831</v>
      </c>
      <c r="D615" s="20">
        <v>1</v>
      </c>
      <c r="E615" s="19" t="s">
        <v>837</v>
      </c>
      <c r="F615" s="19" t="s">
        <v>861</v>
      </c>
      <c r="G615" s="19" t="s">
        <v>885</v>
      </c>
      <c r="H615" s="19" t="s">
        <v>939</v>
      </c>
      <c r="I615" s="19" t="s">
        <v>993</v>
      </c>
      <c r="J615" s="19" t="s">
        <v>1006</v>
      </c>
      <c r="K615" s="24">
        <v>46176</v>
      </c>
      <c r="L615" s="26">
        <v>46176.12430555555</v>
      </c>
      <c r="M615" s="26">
        <v>46176.31597222222</v>
      </c>
      <c r="N615" s="21">
        <v>4.6</v>
      </c>
      <c r="O615" s="23">
        <v>6067.77</v>
      </c>
      <c r="P615" s="19" t="s">
        <v>1014</v>
      </c>
      <c r="Q615" s="20">
        <v>0</v>
      </c>
      <c r="R615" s="19" t="s">
        <v>1022</v>
      </c>
      <c r="S615" s="19"/>
    </row>
    <row r="616" spans="1:19">
      <c r="A616" s="19" t="s">
        <v>615</v>
      </c>
      <c r="B616" s="19" t="s">
        <v>824</v>
      </c>
      <c r="C616" s="19" t="s">
        <v>829</v>
      </c>
      <c r="D616" s="20">
        <v>0</v>
      </c>
      <c r="E616" s="19" t="s">
        <v>846</v>
      </c>
      <c r="F616" s="19" t="s">
        <v>870</v>
      </c>
      <c r="G616" s="19" t="s">
        <v>894</v>
      </c>
      <c r="H616" s="19" t="s">
        <v>925</v>
      </c>
      <c r="I616" s="19" t="s">
        <v>989</v>
      </c>
      <c r="J616" s="19" t="s">
        <v>1004</v>
      </c>
      <c r="K616" s="24">
        <v>46176</v>
      </c>
      <c r="L616" s="19"/>
      <c r="M616" s="19"/>
      <c r="N616" s="21">
        <v>0</v>
      </c>
      <c r="O616" s="23">
        <v>100</v>
      </c>
      <c r="P616" s="19" t="s">
        <v>1015</v>
      </c>
      <c r="Q616" s="20">
        <v>0</v>
      </c>
      <c r="R616" s="19" t="s">
        <v>1021</v>
      </c>
      <c r="S616" s="19"/>
    </row>
    <row r="617" spans="1:19">
      <c r="A617" s="19" t="s">
        <v>616</v>
      </c>
      <c r="B617" s="19" t="s">
        <v>823</v>
      </c>
      <c r="C617" s="19" t="s">
        <v>828</v>
      </c>
      <c r="D617" s="20">
        <v>0</v>
      </c>
      <c r="E617" s="19" t="s">
        <v>837</v>
      </c>
      <c r="F617" s="19" t="s">
        <v>861</v>
      </c>
      <c r="G617" s="19" t="s">
        <v>885</v>
      </c>
      <c r="H617" s="19" t="s">
        <v>911</v>
      </c>
      <c r="I617" s="19" t="s">
        <v>989</v>
      </c>
      <c r="J617" s="19" t="s">
        <v>1004</v>
      </c>
      <c r="K617" s="24">
        <v>46177</v>
      </c>
      <c r="L617" s="19"/>
      <c r="M617" s="19"/>
      <c r="N617" s="21">
        <v>0</v>
      </c>
      <c r="O617" s="23">
        <v>795.97</v>
      </c>
      <c r="P617" s="19" t="s">
        <v>1014</v>
      </c>
      <c r="Q617" s="20">
        <v>0</v>
      </c>
      <c r="R617" s="19" t="s">
        <v>1021</v>
      </c>
      <c r="S617" s="19"/>
    </row>
    <row r="618" spans="1:19">
      <c r="A618" s="19" t="s">
        <v>617</v>
      </c>
      <c r="B618" s="19" t="s">
        <v>823</v>
      </c>
      <c r="C618" s="19" t="s">
        <v>828</v>
      </c>
      <c r="D618" s="20">
        <v>0</v>
      </c>
      <c r="E618" s="19" t="s">
        <v>839</v>
      </c>
      <c r="F618" s="19" t="s">
        <v>863</v>
      </c>
      <c r="G618" s="19" t="s">
        <v>887</v>
      </c>
      <c r="H618" s="19" t="s">
        <v>907</v>
      </c>
      <c r="I618" s="19" t="s">
        <v>989</v>
      </c>
      <c r="J618" s="19" t="s">
        <v>1004</v>
      </c>
      <c r="K618" s="24">
        <v>46177</v>
      </c>
      <c r="L618" s="19"/>
      <c r="M618" s="19"/>
      <c r="N618" s="21">
        <v>0</v>
      </c>
      <c r="O618" s="23">
        <v>501.43</v>
      </c>
      <c r="P618" s="19" t="s">
        <v>1014</v>
      </c>
      <c r="Q618" s="20">
        <v>0</v>
      </c>
      <c r="R618" s="19" t="s">
        <v>1023</v>
      </c>
      <c r="S618" s="19"/>
    </row>
    <row r="619" spans="1:19">
      <c r="A619" s="19" t="s">
        <v>618</v>
      </c>
      <c r="B619" s="19" t="s">
        <v>824</v>
      </c>
      <c r="C619" s="19" t="s">
        <v>829</v>
      </c>
      <c r="D619" s="20">
        <v>0</v>
      </c>
      <c r="E619" s="19" t="s">
        <v>843</v>
      </c>
      <c r="F619" s="19" t="s">
        <v>867</v>
      </c>
      <c r="G619" s="19" t="s">
        <v>891</v>
      </c>
      <c r="H619" s="19" t="s">
        <v>914</v>
      </c>
      <c r="I619" s="19" t="s">
        <v>989</v>
      </c>
      <c r="J619" s="19" t="s">
        <v>1004</v>
      </c>
      <c r="K619" s="24">
        <v>46177</v>
      </c>
      <c r="L619" s="19"/>
      <c r="M619" s="19"/>
      <c r="N619" s="21">
        <v>0</v>
      </c>
      <c r="O619" s="23">
        <v>88</v>
      </c>
      <c r="P619" s="19" t="s">
        <v>1014</v>
      </c>
      <c r="Q619" s="20">
        <v>0</v>
      </c>
      <c r="R619" s="19" t="s">
        <v>1023</v>
      </c>
      <c r="S619" s="19"/>
    </row>
    <row r="620" spans="1:19">
      <c r="A620" s="19" t="s">
        <v>619</v>
      </c>
      <c r="B620" s="19" t="s">
        <v>824</v>
      </c>
      <c r="C620" s="19" t="s">
        <v>829</v>
      </c>
      <c r="D620" s="20">
        <v>0</v>
      </c>
      <c r="E620" s="19" t="s">
        <v>851</v>
      </c>
      <c r="F620" s="19" t="s">
        <v>875</v>
      </c>
      <c r="G620" s="19" t="s">
        <v>899</v>
      </c>
      <c r="H620" s="19" t="s">
        <v>914</v>
      </c>
      <c r="I620" s="19" t="s">
        <v>989</v>
      </c>
      <c r="J620" s="19" t="s">
        <v>1004</v>
      </c>
      <c r="K620" s="24">
        <v>46177</v>
      </c>
      <c r="L620" s="19"/>
      <c r="M620" s="19"/>
      <c r="N620" s="21">
        <v>0</v>
      </c>
      <c r="O620" s="23">
        <v>180</v>
      </c>
      <c r="P620" s="19" t="s">
        <v>1014</v>
      </c>
      <c r="Q620" s="20">
        <v>0</v>
      </c>
      <c r="R620" s="19" t="s">
        <v>1021</v>
      </c>
      <c r="S620" s="19"/>
    </row>
    <row r="621" spans="1:19">
      <c r="A621" s="19" t="s">
        <v>620</v>
      </c>
      <c r="B621" s="19" t="s">
        <v>825</v>
      </c>
      <c r="C621" s="19" t="s">
        <v>830</v>
      </c>
      <c r="D621" s="20">
        <v>1</v>
      </c>
      <c r="E621" s="19" t="s">
        <v>843</v>
      </c>
      <c r="F621" s="19" t="s">
        <v>867</v>
      </c>
      <c r="G621" s="19" t="s">
        <v>891</v>
      </c>
      <c r="H621" s="19" t="s">
        <v>959</v>
      </c>
      <c r="I621" s="19" t="s">
        <v>1000</v>
      </c>
      <c r="J621" s="19" t="s">
        <v>1006</v>
      </c>
      <c r="K621" s="24">
        <v>46178</v>
      </c>
      <c r="L621" s="26">
        <v>46178.10208333333</v>
      </c>
      <c r="M621" s="26">
        <v>46178.31041666667</v>
      </c>
      <c r="N621" s="21">
        <v>5</v>
      </c>
      <c r="O621" s="23">
        <v>3211.88</v>
      </c>
      <c r="P621" s="19" t="s">
        <v>1014</v>
      </c>
      <c r="Q621" s="20">
        <v>0</v>
      </c>
      <c r="R621" s="19" t="s">
        <v>1023</v>
      </c>
      <c r="S621" s="19"/>
    </row>
    <row r="622" spans="1:19">
      <c r="A622" s="19" t="s">
        <v>621</v>
      </c>
      <c r="B622" s="19" t="s">
        <v>823</v>
      </c>
      <c r="C622" s="19" t="s">
        <v>828</v>
      </c>
      <c r="D622" s="20">
        <v>0</v>
      </c>
      <c r="E622" s="19" t="s">
        <v>855</v>
      </c>
      <c r="F622" s="19" t="s">
        <v>879</v>
      </c>
      <c r="G622" s="19" t="s">
        <v>903</v>
      </c>
      <c r="H622" s="19" t="s">
        <v>907</v>
      </c>
      <c r="I622" s="19" t="s">
        <v>989</v>
      </c>
      <c r="J622" s="19" t="s">
        <v>1004</v>
      </c>
      <c r="K622" s="24">
        <v>46178</v>
      </c>
      <c r="L622" s="19"/>
      <c r="M622" s="19"/>
      <c r="N622" s="21">
        <v>0</v>
      </c>
      <c r="O622" s="23">
        <v>359.54</v>
      </c>
      <c r="P622" s="19" t="s">
        <v>1014</v>
      </c>
      <c r="Q622" s="20">
        <v>0</v>
      </c>
      <c r="R622" s="19" t="s">
        <v>1023</v>
      </c>
      <c r="S622" s="19"/>
    </row>
    <row r="623" spans="1:19">
      <c r="A623" s="19" t="s">
        <v>622</v>
      </c>
      <c r="B623" s="19" t="s">
        <v>825</v>
      </c>
      <c r="C623" s="19" t="s">
        <v>830</v>
      </c>
      <c r="D623" s="20">
        <v>1</v>
      </c>
      <c r="E623" s="19" t="s">
        <v>844</v>
      </c>
      <c r="F623" s="19" t="s">
        <v>868</v>
      </c>
      <c r="G623" s="19" t="s">
        <v>892</v>
      </c>
      <c r="H623" s="19" t="s">
        <v>950</v>
      </c>
      <c r="I623" s="19" t="s">
        <v>996</v>
      </c>
      <c r="J623" s="19" t="s">
        <v>1006</v>
      </c>
      <c r="K623" s="24">
        <v>46178</v>
      </c>
      <c r="L623" s="26">
        <v>46178.50902777778</v>
      </c>
      <c r="M623" s="26">
        <v>46178.63402777778</v>
      </c>
      <c r="N623" s="21">
        <v>3</v>
      </c>
      <c r="O623" s="23">
        <v>2970.08</v>
      </c>
      <c r="P623" s="19" t="s">
        <v>1015</v>
      </c>
      <c r="Q623" s="20">
        <v>0</v>
      </c>
      <c r="R623" s="19" t="s">
        <v>1021</v>
      </c>
      <c r="S623" s="19"/>
    </row>
    <row r="624" spans="1:19">
      <c r="A624" s="19" t="s">
        <v>623</v>
      </c>
      <c r="B624" s="19" t="s">
        <v>825</v>
      </c>
      <c r="C624" s="19" t="s">
        <v>830</v>
      </c>
      <c r="D624" s="20">
        <v>1</v>
      </c>
      <c r="E624" s="19" t="s">
        <v>851</v>
      </c>
      <c r="F624" s="19" t="s">
        <v>875</v>
      </c>
      <c r="G624" s="19" t="s">
        <v>899</v>
      </c>
      <c r="H624" s="19" t="s">
        <v>962</v>
      </c>
      <c r="I624" s="19" t="s">
        <v>1000</v>
      </c>
      <c r="J624" s="19" t="s">
        <v>1006</v>
      </c>
      <c r="K624" s="24">
        <v>46179</v>
      </c>
      <c r="L624" s="26">
        <v>46179.40416666667</v>
      </c>
      <c r="M624" s="26">
        <v>46179.7125</v>
      </c>
      <c r="N624" s="21">
        <v>7.4</v>
      </c>
      <c r="O624" s="23">
        <v>9873.9</v>
      </c>
      <c r="P624" s="19" t="s">
        <v>1015</v>
      </c>
      <c r="Q624" s="20">
        <v>0</v>
      </c>
      <c r="R624" s="19" t="s">
        <v>1021</v>
      </c>
      <c r="S624" s="19"/>
    </row>
    <row r="625" spans="1:19">
      <c r="A625" s="19" t="s">
        <v>624</v>
      </c>
      <c r="B625" s="19" t="s">
        <v>823</v>
      </c>
      <c r="C625" s="19" t="s">
        <v>828</v>
      </c>
      <c r="D625" s="20">
        <v>0</v>
      </c>
      <c r="E625" s="19" t="s">
        <v>848</v>
      </c>
      <c r="F625" s="19" t="s">
        <v>872</v>
      </c>
      <c r="G625" s="19" t="s">
        <v>896</v>
      </c>
      <c r="H625" s="19" t="s">
        <v>924</v>
      </c>
      <c r="I625" s="19" t="s">
        <v>989</v>
      </c>
      <c r="J625" s="19" t="s">
        <v>1004</v>
      </c>
      <c r="K625" s="24">
        <v>46180</v>
      </c>
      <c r="L625" s="19"/>
      <c r="M625" s="19"/>
      <c r="N625" s="21">
        <v>0</v>
      </c>
      <c r="O625" s="23">
        <v>1435.6</v>
      </c>
      <c r="P625" s="19" t="s">
        <v>1014</v>
      </c>
      <c r="Q625" s="20">
        <v>0</v>
      </c>
      <c r="R625" s="19" t="s">
        <v>1022</v>
      </c>
      <c r="S625" s="19"/>
    </row>
    <row r="626" spans="1:19">
      <c r="A626" s="19" t="s">
        <v>625</v>
      </c>
      <c r="B626" s="19" t="s">
        <v>823</v>
      </c>
      <c r="C626" s="19" t="s">
        <v>828</v>
      </c>
      <c r="D626" s="20">
        <v>0</v>
      </c>
      <c r="E626" s="19" t="s">
        <v>847</v>
      </c>
      <c r="F626" s="19" t="s">
        <v>871</v>
      </c>
      <c r="G626" s="19" t="s">
        <v>895</v>
      </c>
      <c r="H626" s="19" t="s">
        <v>909</v>
      </c>
      <c r="I626" s="19" t="s">
        <v>989</v>
      </c>
      <c r="J626" s="19" t="s">
        <v>1004</v>
      </c>
      <c r="K626" s="24">
        <v>46180</v>
      </c>
      <c r="L626" s="19"/>
      <c r="M626" s="19"/>
      <c r="N626" s="21">
        <v>0</v>
      </c>
      <c r="O626" s="23">
        <v>494.9</v>
      </c>
      <c r="P626" s="19" t="s">
        <v>1014</v>
      </c>
      <c r="Q626" s="20">
        <v>0</v>
      </c>
      <c r="R626" s="19" t="s">
        <v>1021</v>
      </c>
      <c r="S626" s="19"/>
    </row>
    <row r="627" spans="1:19">
      <c r="A627" s="19" t="s">
        <v>626</v>
      </c>
      <c r="B627" s="19" t="s">
        <v>824</v>
      </c>
      <c r="C627" s="19" t="s">
        <v>829</v>
      </c>
      <c r="D627" s="20">
        <v>0</v>
      </c>
      <c r="E627" s="19" t="s">
        <v>834</v>
      </c>
      <c r="F627" s="19" t="s">
        <v>858</v>
      </c>
      <c r="G627" s="19" t="s">
        <v>882</v>
      </c>
      <c r="H627" s="19" t="s">
        <v>925</v>
      </c>
      <c r="I627" s="19" t="s">
        <v>989</v>
      </c>
      <c r="J627" s="19" t="s">
        <v>1004</v>
      </c>
      <c r="K627" s="24">
        <v>46181</v>
      </c>
      <c r="L627" s="19"/>
      <c r="M627" s="19"/>
      <c r="N627" s="21">
        <v>0</v>
      </c>
      <c r="O627" s="23">
        <v>120</v>
      </c>
      <c r="P627" s="19" t="s">
        <v>1015</v>
      </c>
      <c r="Q627" s="20">
        <v>0</v>
      </c>
      <c r="R627" s="19" t="s">
        <v>1022</v>
      </c>
      <c r="S627" s="19"/>
    </row>
    <row r="628" spans="1:19">
      <c r="A628" s="19" t="s">
        <v>627</v>
      </c>
      <c r="B628" s="19" t="s">
        <v>823</v>
      </c>
      <c r="C628" s="19" t="s">
        <v>828</v>
      </c>
      <c r="D628" s="20">
        <v>0</v>
      </c>
      <c r="E628" s="19" t="s">
        <v>851</v>
      </c>
      <c r="F628" s="19" t="s">
        <v>875</v>
      </c>
      <c r="G628" s="19" t="s">
        <v>899</v>
      </c>
      <c r="H628" s="19" t="s">
        <v>924</v>
      </c>
      <c r="I628" s="19" t="s">
        <v>989</v>
      </c>
      <c r="J628" s="19" t="s">
        <v>1004</v>
      </c>
      <c r="K628" s="24">
        <v>46182</v>
      </c>
      <c r="L628" s="19"/>
      <c r="M628" s="19"/>
      <c r="N628" s="21">
        <v>0</v>
      </c>
      <c r="O628" s="23">
        <v>424.28</v>
      </c>
      <c r="P628" s="19" t="s">
        <v>1015</v>
      </c>
      <c r="Q628" s="20">
        <v>0</v>
      </c>
      <c r="R628" s="19" t="s">
        <v>1023</v>
      </c>
      <c r="S628" s="19"/>
    </row>
    <row r="629" spans="1:19">
      <c r="A629" s="19" t="s">
        <v>628</v>
      </c>
      <c r="B629" s="19" t="s">
        <v>824</v>
      </c>
      <c r="C629" s="19" t="s">
        <v>829</v>
      </c>
      <c r="D629" s="20">
        <v>0</v>
      </c>
      <c r="E629" s="19" t="s">
        <v>852</v>
      </c>
      <c r="F629" s="19" t="s">
        <v>876</v>
      </c>
      <c r="G629" s="19" t="s">
        <v>900</v>
      </c>
      <c r="H629" s="19" t="s">
        <v>908</v>
      </c>
      <c r="I629" s="19" t="s">
        <v>989</v>
      </c>
      <c r="J629" s="19" t="s">
        <v>1004</v>
      </c>
      <c r="K629" s="24">
        <v>46182</v>
      </c>
      <c r="L629" s="19"/>
      <c r="M629" s="19"/>
      <c r="N629" s="21">
        <v>0</v>
      </c>
      <c r="O629" s="23">
        <v>280</v>
      </c>
      <c r="P629" s="19" t="s">
        <v>1014</v>
      </c>
      <c r="Q629" s="20">
        <v>0</v>
      </c>
      <c r="R629" s="19" t="s">
        <v>1021</v>
      </c>
      <c r="S629" s="19"/>
    </row>
    <row r="630" spans="1:19">
      <c r="A630" s="19" t="s">
        <v>629</v>
      </c>
      <c r="B630" s="19" t="s">
        <v>825</v>
      </c>
      <c r="C630" s="19" t="s">
        <v>830</v>
      </c>
      <c r="D630" s="20">
        <v>1</v>
      </c>
      <c r="E630" s="19" t="s">
        <v>844</v>
      </c>
      <c r="F630" s="19" t="s">
        <v>868</v>
      </c>
      <c r="G630" s="19" t="s">
        <v>892</v>
      </c>
      <c r="H630" s="19" t="s">
        <v>952</v>
      </c>
      <c r="I630" s="19" t="s">
        <v>991</v>
      </c>
      <c r="J630" s="19" t="s">
        <v>1005</v>
      </c>
      <c r="K630" s="24">
        <v>46182</v>
      </c>
      <c r="L630" s="26">
        <v>46182.41805555556</v>
      </c>
      <c r="M630" s="26">
        <v>46182.52638888889</v>
      </c>
      <c r="N630" s="21">
        <v>2.6</v>
      </c>
      <c r="O630" s="23">
        <v>2407.08</v>
      </c>
      <c r="P630" s="19" t="s">
        <v>1014</v>
      </c>
      <c r="Q630" s="20">
        <v>0</v>
      </c>
      <c r="R630" s="19" t="s">
        <v>1023</v>
      </c>
      <c r="S630" s="19" t="s">
        <v>1033</v>
      </c>
    </row>
    <row r="631" spans="1:19">
      <c r="A631" s="19" t="s">
        <v>630</v>
      </c>
      <c r="B631" s="19" t="s">
        <v>826</v>
      </c>
      <c r="C631" s="19" t="s">
        <v>831</v>
      </c>
      <c r="D631" s="20">
        <v>1</v>
      </c>
      <c r="E631" s="19" t="s">
        <v>851</v>
      </c>
      <c r="F631" s="19" t="s">
        <v>875</v>
      </c>
      <c r="G631" s="19" t="s">
        <v>899</v>
      </c>
      <c r="H631" s="19" t="s">
        <v>958</v>
      </c>
      <c r="I631" s="19" t="s">
        <v>992</v>
      </c>
      <c r="J631" s="19" t="s">
        <v>1006</v>
      </c>
      <c r="K631" s="24">
        <v>46182</v>
      </c>
      <c r="L631" s="26">
        <v>46182.84166666667</v>
      </c>
      <c r="M631" s="26">
        <v>46183.25833333333</v>
      </c>
      <c r="N631" s="21">
        <v>10</v>
      </c>
      <c r="O631" s="23">
        <v>8543.17</v>
      </c>
      <c r="P631" s="19" t="s">
        <v>1014</v>
      </c>
      <c r="Q631" s="20">
        <v>0</v>
      </c>
      <c r="R631" s="19" t="s">
        <v>1024</v>
      </c>
      <c r="S631" s="19"/>
    </row>
    <row r="632" spans="1:19">
      <c r="A632" s="19" t="s">
        <v>631</v>
      </c>
      <c r="B632" s="19" t="s">
        <v>823</v>
      </c>
      <c r="C632" s="19" t="s">
        <v>828</v>
      </c>
      <c r="D632" s="20">
        <v>0</v>
      </c>
      <c r="E632" s="19" t="s">
        <v>845</v>
      </c>
      <c r="F632" s="19" t="s">
        <v>869</v>
      </c>
      <c r="G632" s="19" t="s">
        <v>893</v>
      </c>
      <c r="H632" s="19" t="s">
        <v>906</v>
      </c>
      <c r="I632" s="19" t="s">
        <v>989</v>
      </c>
      <c r="J632" s="19" t="s">
        <v>1004</v>
      </c>
      <c r="K632" s="24">
        <v>46183</v>
      </c>
      <c r="L632" s="19"/>
      <c r="M632" s="19"/>
      <c r="N632" s="21">
        <v>0</v>
      </c>
      <c r="O632" s="23">
        <v>736.12</v>
      </c>
      <c r="P632" s="19" t="s">
        <v>1014</v>
      </c>
      <c r="Q632" s="20">
        <v>0</v>
      </c>
      <c r="R632" s="19" t="s">
        <v>1021</v>
      </c>
      <c r="S632" s="19"/>
    </row>
    <row r="633" spans="1:19">
      <c r="A633" s="19" t="s">
        <v>632</v>
      </c>
      <c r="B633" s="19" t="s">
        <v>823</v>
      </c>
      <c r="C633" s="19" t="s">
        <v>828</v>
      </c>
      <c r="D633" s="20">
        <v>0</v>
      </c>
      <c r="E633" s="19" t="s">
        <v>856</v>
      </c>
      <c r="F633" s="19" t="s">
        <v>880</v>
      </c>
      <c r="G633" s="19" t="s">
        <v>904</v>
      </c>
      <c r="H633" s="19" t="s">
        <v>906</v>
      </c>
      <c r="I633" s="19" t="s">
        <v>989</v>
      </c>
      <c r="J633" s="19" t="s">
        <v>1004</v>
      </c>
      <c r="K633" s="24">
        <v>46184</v>
      </c>
      <c r="L633" s="19"/>
      <c r="M633" s="19"/>
      <c r="N633" s="21">
        <v>0</v>
      </c>
      <c r="O633" s="23">
        <v>73.75</v>
      </c>
      <c r="P633" s="19" t="s">
        <v>1014</v>
      </c>
      <c r="Q633" s="20">
        <v>0</v>
      </c>
      <c r="R633" s="19" t="s">
        <v>1021</v>
      </c>
      <c r="S633" s="19"/>
    </row>
    <row r="634" spans="1:19">
      <c r="A634" s="19" t="s">
        <v>633</v>
      </c>
      <c r="B634" s="19" t="s">
        <v>823</v>
      </c>
      <c r="C634" s="19" t="s">
        <v>828</v>
      </c>
      <c r="D634" s="20">
        <v>0</v>
      </c>
      <c r="E634" s="19" t="s">
        <v>846</v>
      </c>
      <c r="F634" s="19" t="s">
        <v>870</v>
      </c>
      <c r="G634" s="19" t="s">
        <v>894</v>
      </c>
      <c r="H634" s="19" t="s">
        <v>909</v>
      </c>
      <c r="I634" s="19" t="s">
        <v>989</v>
      </c>
      <c r="J634" s="19" t="s">
        <v>1004</v>
      </c>
      <c r="K634" s="24">
        <v>46184</v>
      </c>
      <c r="L634" s="19"/>
      <c r="M634" s="19"/>
      <c r="N634" s="21">
        <v>0</v>
      </c>
      <c r="O634" s="23">
        <v>332.4</v>
      </c>
      <c r="P634" s="19" t="s">
        <v>1015</v>
      </c>
      <c r="Q634" s="20">
        <v>0</v>
      </c>
      <c r="R634" s="19" t="s">
        <v>1021</v>
      </c>
      <c r="S634" s="19"/>
    </row>
    <row r="635" spans="1:19">
      <c r="A635" s="19" t="s">
        <v>634</v>
      </c>
      <c r="B635" s="19" t="s">
        <v>823</v>
      </c>
      <c r="C635" s="19" t="s">
        <v>828</v>
      </c>
      <c r="D635" s="20">
        <v>0</v>
      </c>
      <c r="E635" s="19" t="s">
        <v>842</v>
      </c>
      <c r="F635" s="19" t="s">
        <v>866</v>
      </c>
      <c r="G635" s="19" t="s">
        <v>890</v>
      </c>
      <c r="H635" s="19" t="s">
        <v>906</v>
      </c>
      <c r="I635" s="19" t="s">
        <v>989</v>
      </c>
      <c r="J635" s="19" t="s">
        <v>1004</v>
      </c>
      <c r="K635" s="24">
        <v>46185</v>
      </c>
      <c r="L635" s="19"/>
      <c r="M635" s="19"/>
      <c r="N635" s="21">
        <v>0</v>
      </c>
      <c r="O635" s="23">
        <v>1109.36</v>
      </c>
      <c r="P635" s="19" t="s">
        <v>1014</v>
      </c>
      <c r="Q635" s="20">
        <v>0</v>
      </c>
      <c r="R635" s="19" t="s">
        <v>1021</v>
      </c>
      <c r="S635" s="19"/>
    </row>
    <row r="636" spans="1:19">
      <c r="A636" s="19" t="s">
        <v>635</v>
      </c>
      <c r="B636" s="19" t="s">
        <v>823</v>
      </c>
      <c r="C636" s="19" t="s">
        <v>828</v>
      </c>
      <c r="D636" s="20">
        <v>0</v>
      </c>
      <c r="E636" s="19" t="s">
        <v>852</v>
      </c>
      <c r="F636" s="19" t="s">
        <v>876</v>
      </c>
      <c r="G636" s="19" t="s">
        <v>900</v>
      </c>
      <c r="H636" s="19" t="s">
        <v>912</v>
      </c>
      <c r="I636" s="19" t="s">
        <v>989</v>
      </c>
      <c r="J636" s="19" t="s">
        <v>1004</v>
      </c>
      <c r="K636" s="24">
        <v>46185</v>
      </c>
      <c r="L636" s="19"/>
      <c r="M636" s="19"/>
      <c r="N636" s="21">
        <v>0</v>
      </c>
      <c r="O636" s="23">
        <v>683.42</v>
      </c>
      <c r="P636" s="19" t="s">
        <v>1014</v>
      </c>
      <c r="Q636" s="20">
        <v>0</v>
      </c>
      <c r="R636" s="19" t="s">
        <v>1021</v>
      </c>
      <c r="S636" s="19"/>
    </row>
    <row r="637" spans="1:19">
      <c r="A637" s="19" t="s">
        <v>636</v>
      </c>
      <c r="B637" s="19" t="s">
        <v>823</v>
      </c>
      <c r="C637" s="19" t="s">
        <v>828</v>
      </c>
      <c r="D637" s="20">
        <v>0</v>
      </c>
      <c r="E637" s="19" t="s">
        <v>840</v>
      </c>
      <c r="F637" s="19" t="s">
        <v>864</v>
      </c>
      <c r="G637" s="19" t="s">
        <v>888</v>
      </c>
      <c r="H637" s="19" t="s">
        <v>909</v>
      </c>
      <c r="I637" s="19" t="s">
        <v>989</v>
      </c>
      <c r="J637" s="19" t="s">
        <v>1004</v>
      </c>
      <c r="K637" s="24">
        <v>46186</v>
      </c>
      <c r="L637" s="19"/>
      <c r="M637" s="19"/>
      <c r="N637" s="21">
        <v>0</v>
      </c>
      <c r="O637" s="23">
        <v>693.34</v>
      </c>
      <c r="P637" s="19" t="s">
        <v>1014</v>
      </c>
      <c r="Q637" s="20">
        <v>0</v>
      </c>
      <c r="R637" s="19" t="s">
        <v>1022</v>
      </c>
      <c r="S637" s="19"/>
    </row>
    <row r="638" spans="1:19">
      <c r="A638" s="19" t="s">
        <v>637</v>
      </c>
      <c r="B638" s="19" t="s">
        <v>823</v>
      </c>
      <c r="C638" s="19" t="s">
        <v>828</v>
      </c>
      <c r="D638" s="20">
        <v>0</v>
      </c>
      <c r="E638" s="19" t="s">
        <v>853</v>
      </c>
      <c r="F638" s="19" t="s">
        <v>877</v>
      </c>
      <c r="G638" s="19" t="s">
        <v>901</v>
      </c>
      <c r="H638" s="19" t="s">
        <v>912</v>
      </c>
      <c r="I638" s="19" t="s">
        <v>989</v>
      </c>
      <c r="J638" s="19" t="s">
        <v>1004</v>
      </c>
      <c r="K638" s="24">
        <v>46186</v>
      </c>
      <c r="L638" s="19"/>
      <c r="M638" s="19"/>
      <c r="N638" s="21">
        <v>0</v>
      </c>
      <c r="O638" s="23">
        <v>413.3</v>
      </c>
      <c r="P638" s="19" t="s">
        <v>1015</v>
      </c>
      <c r="Q638" s="20">
        <v>0</v>
      </c>
      <c r="R638" s="19" t="s">
        <v>1021</v>
      </c>
      <c r="S638" s="19"/>
    </row>
    <row r="639" spans="1:19">
      <c r="A639" s="19" t="s">
        <v>638</v>
      </c>
      <c r="B639" s="19" t="s">
        <v>826</v>
      </c>
      <c r="C639" s="19" t="s">
        <v>831</v>
      </c>
      <c r="D639" s="20">
        <v>1</v>
      </c>
      <c r="E639" s="19" t="s">
        <v>843</v>
      </c>
      <c r="F639" s="19" t="s">
        <v>867</v>
      </c>
      <c r="G639" s="19" t="s">
        <v>891</v>
      </c>
      <c r="H639" s="19" t="s">
        <v>981</v>
      </c>
      <c r="I639" s="19" t="s">
        <v>1000</v>
      </c>
      <c r="J639" s="19" t="s">
        <v>1005</v>
      </c>
      <c r="K639" s="24">
        <v>46187</v>
      </c>
      <c r="L639" s="26">
        <v>46187.125</v>
      </c>
      <c r="M639" s="26">
        <v>46187.39583333334</v>
      </c>
      <c r="N639" s="21">
        <v>6.5</v>
      </c>
      <c r="O639" s="23">
        <v>3100</v>
      </c>
      <c r="P639" s="19" t="s">
        <v>1015</v>
      </c>
      <c r="Q639" s="20">
        <v>0</v>
      </c>
      <c r="R639" s="19" t="s">
        <v>1024</v>
      </c>
      <c r="S639" s="19" t="s">
        <v>1032</v>
      </c>
    </row>
    <row r="640" spans="1:19">
      <c r="A640" s="19" t="s">
        <v>639</v>
      </c>
      <c r="B640" s="19" t="s">
        <v>824</v>
      </c>
      <c r="C640" s="19" t="s">
        <v>829</v>
      </c>
      <c r="D640" s="20">
        <v>0</v>
      </c>
      <c r="E640" s="19" t="s">
        <v>844</v>
      </c>
      <c r="F640" s="19" t="s">
        <v>868</v>
      </c>
      <c r="G640" s="19" t="s">
        <v>892</v>
      </c>
      <c r="H640" s="19" t="s">
        <v>910</v>
      </c>
      <c r="I640" s="19" t="s">
        <v>989</v>
      </c>
      <c r="J640" s="19" t="s">
        <v>1004</v>
      </c>
      <c r="K640" s="24">
        <v>46187</v>
      </c>
      <c r="L640" s="19"/>
      <c r="M640" s="19"/>
      <c r="N640" s="21">
        <v>0</v>
      </c>
      <c r="O640" s="23">
        <v>140</v>
      </c>
      <c r="P640" s="19" t="s">
        <v>1014</v>
      </c>
      <c r="Q640" s="20">
        <v>0</v>
      </c>
      <c r="R640" s="19" t="s">
        <v>1023</v>
      </c>
      <c r="S640" s="19"/>
    </row>
    <row r="641" spans="1:19">
      <c r="A641" s="19" t="s">
        <v>640</v>
      </c>
      <c r="B641" s="19" t="s">
        <v>823</v>
      </c>
      <c r="C641" s="19" t="s">
        <v>828</v>
      </c>
      <c r="D641" s="20">
        <v>0</v>
      </c>
      <c r="E641" s="19" t="s">
        <v>836</v>
      </c>
      <c r="F641" s="19" t="s">
        <v>860</v>
      </c>
      <c r="G641" s="19" t="s">
        <v>884</v>
      </c>
      <c r="H641" s="19" t="s">
        <v>912</v>
      </c>
      <c r="I641" s="19" t="s">
        <v>989</v>
      </c>
      <c r="J641" s="19" t="s">
        <v>1004</v>
      </c>
      <c r="K641" s="24">
        <v>46188</v>
      </c>
      <c r="L641" s="19"/>
      <c r="M641" s="19"/>
      <c r="N641" s="21">
        <v>0</v>
      </c>
      <c r="O641" s="23">
        <v>445.49</v>
      </c>
      <c r="P641" s="19" t="s">
        <v>1014</v>
      </c>
      <c r="Q641" s="20">
        <v>0</v>
      </c>
      <c r="R641" s="19" t="s">
        <v>1021</v>
      </c>
      <c r="S641" s="19"/>
    </row>
    <row r="642" spans="1:19">
      <c r="A642" s="19" t="s">
        <v>641</v>
      </c>
      <c r="B642" s="19" t="s">
        <v>825</v>
      </c>
      <c r="C642" s="19" t="s">
        <v>830</v>
      </c>
      <c r="D642" s="20">
        <v>1</v>
      </c>
      <c r="E642" s="19" t="s">
        <v>852</v>
      </c>
      <c r="F642" s="19" t="s">
        <v>876</v>
      </c>
      <c r="G642" s="19" t="s">
        <v>900</v>
      </c>
      <c r="H642" s="19" t="s">
        <v>983</v>
      </c>
      <c r="I642" s="19" t="s">
        <v>995</v>
      </c>
      <c r="J642" s="19" t="s">
        <v>1007</v>
      </c>
      <c r="K642" s="24">
        <v>46188</v>
      </c>
      <c r="L642" s="26">
        <v>46188.78958333333</v>
      </c>
      <c r="M642" s="26">
        <v>46189.44791666666</v>
      </c>
      <c r="N642" s="21">
        <v>0</v>
      </c>
      <c r="O642" s="23">
        <v>6983.79</v>
      </c>
      <c r="P642" s="19" t="s">
        <v>1014</v>
      </c>
      <c r="Q642" s="20">
        <v>0</v>
      </c>
      <c r="R642" s="19" t="s">
        <v>1023</v>
      </c>
      <c r="S642" s="19"/>
    </row>
    <row r="643" spans="1:19">
      <c r="A643" s="19" t="s">
        <v>642</v>
      </c>
      <c r="B643" s="19" t="s">
        <v>826</v>
      </c>
      <c r="C643" s="19" t="s">
        <v>831</v>
      </c>
      <c r="D643" s="20">
        <v>1</v>
      </c>
      <c r="E643" s="19" t="s">
        <v>844</v>
      </c>
      <c r="F643" s="19" t="s">
        <v>868</v>
      </c>
      <c r="G643" s="19" t="s">
        <v>892</v>
      </c>
      <c r="H643" s="19" t="s">
        <v>940</v>
      </c>
      <c r="I643" s="19" t="s">
        <v>1001</v>
      </c>
      <c r="J643" s="19" t="s">
        <v>1006</v>
      </c>
      <c r="K643" s="24">
        <v>46189</v>
      </c>
      <c r="L643" s="26">
        <v>46189.68263888889</v>
      </c>
      <c r="M643" s="26">
        <v>46189.75763888889</v>
      </c>
      <c r="N643" s="21">
        <v>1.8</v>
      </c>
      <c r="O643" s="23">
        <v>5457.49</v>
      </c>
      <c r="P643" s="19" t="s">
        <v>1014</v>
      </c>
      <c r="Q643" s="20">
        <v>0</v>
      </c>
      <c r="R643" s="19" t="s">
        <v>1024</v>
      </c>
      <c r="S643" s="19"/>
    </row>
    <row r="644" spans="1:19">
      <c r="A644" s="19" t="s">
        <v>643</v>
      </c>
      <c r="B644" s="19" t="s">
        <v>826</v>
      </c>
      <c r="C644" s="19" t="s">
        <v>831</v>
      </c>
      <c r="D644" s="20">
        <v>1</v>
      </c>
      <c r="E644" s="19" t="s">
        <v>846</v>
      </c>
      <c r="F644" s="19" t="s">
        <v>870</v>
      </c>
      <c r="G644" s="19" t="s">
        <v>894</v>
      </c>
      <c r="H644" s="19" t="s">
        <v>984</v>
      </c>
      <c r="I644" s="19" t="s">
        <v>994</v>
      </c>
      <c r="J644" s="19" t="s">
        <v>1005</v>
      </c>
      <c r="K644" s="24">
        <v>46190</v>
      </c>
      <c r="L644" s="26">
        <v>46190.27708333333</v>
      </c>
      <c r="M644" s="26">
        <v>46190.36458333334</v>
      </c>
      <c r="N644" s="21">
        <v>2.1</v>
      </c>
      <c r="O644" s="23">
        <v>2306.09</v>
      </c>
      <c r="P644" s="19" t="s">
        <v>1015</v>
      </c>
      <c r="Q644" s="20">
        <v>0</v>
      </c>
      <c r="R644" s="19" t="s">
        <v>1022</v>
      </c>
      <c r="S644" s="19" t="s">
        <v>1031</v>
      </c>
    </row>
    <row r="645" spans="1:19">
      <c r="A645" s="19" t="s">
        <v>644</v>
      </c>
      <c r="B645" s="19" t="s">
        <v>823</v>
      </c>
      <c r="C645" s="19" t="s">
        <v>828</v>
      </c>
      <c r="D645" s="20">
        <v>0</v>
      </c>
      <c r="E645" s="19" t="s">
        <v>834</v>
      </c>
      <c r="F645" s="19" t="s">
        <v>858</v>
      </c>
      <c r="G645" s="19" t="s">
        <v>882</v>
      </c>
      <c r="H645" s="19" t="s">
        <v>911</v>
      </c>
      <c r="I645" s="19" t="s">
        <v>989</v>
      </c>
      <c r="J645" s="19" t="s">
        <v>1004</v>
      </c>
      <c r="K645" s="24">
        <v>46190</v>
      </c>
      <c r="L645" s="19"/>
      <c r="M645" s="19"/>
      <c r="N645" s="21">
        <v>0</v>
      </c>
      <c r="O645" s="23">
        <v>250.98</v>
      </c>
      <c r="P645" s="19" t="s">
        <v>1015</v>
      </c>
      <c r="Q645" s="20">
        <v>0</v>
      </c>
      <c r="R645" s="19" t="s">
        <v>1023</v>
      </c>
      <c r="S645" s="19"/>
    </row>
    <row r="646" spans="1:19">
      <c r="A646" s="19" t="s">
        <v>645</v>
      </c>
      <c r="B646" s="19" t="s">
        <v>825</v>
      </c>
      <c r="C646" s="19" t="s">
        <v>830</v>
      </c>
      <c r="D646" s="20">
        <v>1</v>
      </c>
      <c r="E646" s="19" t="s">
        <v>843</v>
      </c>
      <c r="F646" s="19" t="s">
        <v>867</v>
      </c>
      <c r="G646" s="19" t="s">
        <v>891</v>
      </c>
      <c r="H646" s="19" t="s">
        <v>929</v>
      </c>
      <c r="I646" s="19" t="s">
        <v>993</v>
      </c>
      <c r="J646" s="19" t="s">
        <v>1005</v>
      </c>
      <c r="K646" s="24">
        <v>46191</v>
      </c>
      <c r="L646" s="26">
        <v>46191.04652777778</v>
      </c>
      <c r="M646" s="26">
        <v>46191.19236111111</v>
      </c>
      <c r="N646" s="21">
        <v>0</v>
      </c>
      <c r="O646" s="23">
        <v>2338.32</v>
      </c>
      <c r="P646" s="19" t="s">
        <v>1014</v>
      </c>
      <c r="Q646" s="20">
        <v>0</v>
      </c>
      <c r="R646" s="19" t="s">
        <v>1021</v>
      </c>
      <c r="S646" s="19" t="s">
        <v>1027</v>
      </c>
    </row>
    <row r="647" spans="1:19">
      <c r="A647" s="19" t="s">
        <v>646</v>
      </c>
      <c r="B647" s="19" t="s">
        <v>823</v>
      </c>
      <c r="C647" s="19" t="s">
        <v>828</v>
      </c>
      <c r="D647" s="20">
        <v>0</v>
      </c>
      <c r="E647" s="19" t="s">
        <v>841</v>
      </c>
      <c r="F647" s="19" t="s">
        <v>865</v>
      </c>
      <c r="G647" s="19" t="s">
        <v>889</v>
      </c>
      <c r="H647" s="19" t="s">
        <v>909</v>
      </c>
      <c r="I647" s="19" t="s">
        <v>989</v>
      </c>
      <c r="J647" s="19" t="s">
        <v>1004</v>
      </c>
      <c r="K647" s="24">
        <v>46191</v>
      </c>
      <c r="L647" s="19"/>
      <c r="M647" s="19"/>
      <c r="N647" s="21">
        <v>0</v>
      </c>
      <c r="O647" s="23">
        <v>1910.58</v>
      </c>
      <c r="P647" s="19" t="s">
        <v>1015</v>
      </c>
      <c r="Q647" s="20">
        <v>0</v>
      </c>
      <c r="R647" s="19" t="s">
        <v>1022</v>
      </c>
      <c r="S647" s="19"/>
    </row>
    <row r="648" spans="1:19">
      <c r="A648" s="19" t="s">
        <v>647</v>
      </c>
      <c r="B648" s="19" t="s">
        <v>823</v>
      </c>
      <c r="C648" s="19" t="s">
        <v>828</v>
      </c>
      <c r="D648" s="20">
        <v>0</v>
      </c>
      <c r="E648" s="19" t="s">
        <v>838</v>
      </c>
      <c r="F648" s="19" t="s">
        <v>862</v>
      </c>
      <c r="G648" s="19" t="s">
        <v>886</v>
      </c>
      <c r="H648" s="19" t="s">
        <v>912</v>
      </c>
      <c r="I648" s="19" t="s">
        <v>989</v>
      </c>
      <c r="J648" s="19" t="s">
        <v>1004</v>
      </c>
      <c r="K648" s="24">
        <v>46191</v>
      </c>
      <c r="L648" s="19"/>
      <c r="M648" s="19"/>
      <c r="N648" s="21">
        <v>0</v>
      </c>
      <c r="O648" s="23">
        <v>224.09</v>
      </c>
      <c r="P648" s="19" t="s">
        <v>1015</v>
      </c>
      <c r="Q648" s="20">
        <v>0</v>
      </c>
      <c r="R648" s="19" t="s">
        <v>1021</v>
      </c>
      <c r="S648" s="19"/>
    </row>
    <row r="649" spans="1:19">
      <c r="A649" s="19" t="s">
        <v>648</v>
      </c>
      <c r="B649" s="19" t="s">
        <v>825</v>
      </c>
      <c r="C649" s="19" t="s">
        <v>830</v>
      </c>
      <c r="D649" s="20">
        <v>1</v>
      </c>
      <c r="E649" s="19" t="s">
        <v>843</v>
      </c>
      <c r="F649" s="19" t="s">
        <v>867</v>
      </c>
      <c r="G649" s="19" t="s">
        <v>891</v>
      </c>
      <c r="H649" s="19" t="s">
        <v>955</v>
      </c>
      <c r="I649" s="19" t="s">
        <v>1000</v>
      </c>
      <c r="J649" s="19" t="s">
        <v>1006</v>
      </c>
      <c r="K649" s="24">
        <v>46191</v>
      </c>
      <c r="L649" s="26">
        <v>46191.72430555556</v>
      </c>
      <c r="M649" s="26">
        <v>46191.91180555556</v>
      </c>
      <c r="N649" s="21">
        <v>4.5</v>
      </c>
      <c r="O649" s="23">
        <v>2505.53</v>
      </c>
      <c r="P649" s="19" t="s">
        <v>1014</v>
      </c>
      <c r="Q649" s="20">
        <v>0</v>
      </c>
      <c r="R649" s="19" t="s">
        <v>1021</v>
      </c>
      <c r="S649" s="19"/>
    </row>
    <row r="650" spans="1:19">
      <c r="A650" s="19" t="s">
        <v>649</v>
      </c>
      <c r="B650" s="19" t="s">
        <v>823</v>
      </c>
      <c r="C650" s="19" t="s">
        <v>828</v>
      </c>
      <c r="D650" s="20">
        <v>0</v>
      </c>
      <c r="E650" s="19" t="s">
        <v>844</v>
      </c>
      <c r="F650" s="19" t="s">
        <v>868</v>
      </c>
      <c r="G650" s="19" t="s">
        <v>892</v>
      </c>
      <c r="H650" s="19" t="s">
        <v>909</v>
      </c>
      <c r="I650" s="19" t="s">
        <v>989</v>
      </c>
      <c r="J650" s="19" t="s">
        <v>1004</v>
      </c>
      <c r="K650" s="24">
        <v>46192</v>
      </c>
      <c r="L650" s="19"/>
      <c r="M650" s="19"/>
      <c r="N650" s="21">
        <v>0</v>
      </c>
      <c r="O650" s="23">
        <v>363.14</v>
      </c>
      <c r="P650" s="19" t="s">
        <v>1015</v>
      </c>
      <c r="Q650" s="20">
        <v>0</v>
      </c>
      <c r="R650" s="19" t="s">
        <v>1022</v>
      </c>
      <c r="S650" s="19"/>
    </row>
    <row r="651" spans="1:19">
      <c r="A651" s="19" t="s">
        <v>650</v>
      </c>
      <c r="B651" s="19" t="s">
        <v>823</v>
      </c>
      <c r="C651" s="19" t="s">
        <v>828</v>
      </c>
      <c r="D651" s="20">
        <v>0</v>
      </c>
      <c r="E651" s="19" t="s">
        <v>843</v>
      </c>
      <c r="F651" s="19" t="s">
        <v>867</v>
      </c>
      <c r="G651" s="19" t="s">
        <v>891</v>
      </c>
      <c r="H651" s="19" t="s">
        <v>911</v>
      </c>
      <c r="I651" s="19" t="s">
        <v>989</v>
      </c>
      <c r="J651" s="19" t="s">
        <v>1004</v>
      </c>
      <c r="K651" s="24">
        <v>46193</v>
      </c>
      <c r="L651" s="19"/>
      <c r="M651" s="19"/>
      <c r="N651" s="21">
        <v>0</v>
      </c>
      <c r="O651" s="23">
        <v>229.71</v>
      </c>
      <c r="P651" s="19" t="s">
        <v>1014</v>
      </c>
      <c r="Q651" s="20">
        <v>0</v>
      </c>
      <c r="R651" s="19" t="s">
        <v>1021</v>
      </c>
      <c r="S651" s="19"/>
    </row>
    <row r="652" spans="1:19">
      <c r="A652" s="19" t="s">
        <v>651</v>
      </c>
      <c r="B652" s="19" t="s">
        <v>824</v>
      </c>
      <c r="C652" s="19" t="s">
        <v>829</v>
      </c>
      <c r="D652" s="20">
        <v>0</v>
      </c>
      <c r="E652" s="19" t="s">
        <v>853</v>
      </c>
      <c r="F652" s="19" t="s">
        <v>877</v>
      </c>
      <c r="G652" s="19" t="s">
        <v>901</v>
      </c>
      <c r="H652" s="19" t="s">
        <v>910</v>
      </c>
      <c r="I652" s="19" t="s">
        <v>989</v>
      </c>
      <c r="J652" s="19" t="s">
        <v>1004</v>
      </c>
      <c r="K652" s="24">
        <v>46193</v>
      </c>
      <c r="L652" s="19"/>
      <c r="M652" s="19"/>
      <c r="N652" s="21">
        <v>0</v>
      </c>
      <c r="O652" s="23">
        <v>140</v>
      </c>
      <c r="P652" s="19" t="s">
        <v>1014</v>
      </c>
      <c r="Q652" s="20">
        <v>0</v>
      </c>
      <c r="R652" s="19" t="s">
        <v>1023</v>
      </c>
      <c r="S652" s="19"/>
    </row>
    <row r="653" spans="1:19">
      <c r="A653" s="19" t="s">
        <v>652</v>
      </c>
      <c r="B653" s="19" t="s">
        <v>823</v>
      </c>
      <c r="C653" s="19" t="s">
        <v>828</v>
      </c>
      <c r="D653" s="20">
        <v>0</v>
      </c>
      <c r="E653" s="19" t="s">
        <v>839</v>
      </c>
      <c r="F653" s="19" t="s">
        <v>863</v>
      </c>
      <c r="G653" s="19" t="s">
        <v>887</v>
      </c>
      <c r="H653" s="19" t="s">
        <v>909</v>
      </c>
      <c r="I653" s="19" t="s">
        <v>989</v>
      </c>
      <c r="J653" s="19" t="s">
        <v>1004</v>
      </c>
      <c r="K653" s="24">
        <v>46194</v>
      </c>
      <c r="L653" s="19"/>
      <c r="M653" s="19"/>
      <c r="N653" s="21">
        <v>0</v>
      </c>
      <c r="O653" s="23">
        <v>404.08</v>
      </c>
      <c r="P653" s="19" t="s">
        <v>1014</v>
      </c>
      <c r="Q653" s="20">
        <v>0</v>
      </c>
      <c r="R653" s="19" t="s">
        <v>1022</v>
      </c>
      <c r="S653" s="19"/>
    </row>
    <row r="654" spans="1:19">
      <c r="A654" s="19" t="s">
        <v>653</v>
      </c>
      <c r="B654" s="19" t="s">
        <v>823</v>
      </c>
      <c r="C654" s="19" t="s">
        <v>828</v>
      </c>
      <c r="D654" s="20">
        <v>0</v>
      </c>
      <c r="E654" s="19" t="s">
        <v>849</v>
      </c>
      <c r="F654" s="19" t="s">
        <v>873</v>
      </c>
      <c r="G654" s="19" t="s">
        <v>897</v>
      </c>
      <c r="H654" s="19" t="s">
        <v>917</v>
      </c>
      <c r="I654" s="19" t="s">
        <v>989</v>
      </c>
      <c r="J654" s="19" t="s">
        <v>1004</v>
      </c>
      <c r="K654" s="24">
        <v>46195</v>
      </c>
      <c r="L654" s="19"/>
      <c r="M654" s="19"/>
      <c r="N654" s="21">
        <v>0</v>
      </c>
      <c r="O654" s="23">
        <v>1791.18</v>
      </c>
      <c r="P654" s="19" t="s">
        <v>1015</v>
      </c>
      <c r="Q654" s="20">
        <v>0</v>
      </c>
      <c r="R654" s="19" t="s">
        <v>1022</v>
      </c>
      <c r="S654" s="19"/>
    </row>
    <row r="655" spans="1:19">
      <c r="A655" s="19" t="s">
        <v>654</v>
      </c>
      <c r="B655" s="19" t="s">
        <v>825</v>
      </c>
      <c r="C655" s="19" t="s">
        <v>830</v>
      </c>
      <c r="D655" s="20">
        <v>1</v>
      </c>
      <c r="E655" s="19" t="s">
        <v>845</v>
      </c>
      <c r="F655" s="19" t="s">
        <v>869</v>
      </c>
      <c r="G655" s="19" t="s">
        <v>893</v>
      </c>
      <c r="H655" s="19" t="s">
        <v>926</v>
      </c>
      <c r="I655" s="19" t="s">
        <v>997</v>
      </c>
      <c r="J655" s="19" t="s">
        <v>1006</v>
      </c>
      <c r="K655" s="24">
        <v>46195</v>
      </c>
      <c r="L655" s="26">
        <v>46195.79722222222</v>
      </c>
      <c r="M655" s="26">
        <v>46195.91805555556</v>
      </c>
      <c r="N655" s="21">
        <v>2.9</v>
      </c>
      <c r="O655" s="23">
        <v>8001.9</v>
      </c>
      <c r="P655" s="19" t="s">
        <v>1015</v>
      </c>
      <c r="Q655" s="20">
        <v>0</v>
      </c>
      <c r="R655" s="19" t="s">
        <v>1021</v>
      </c>
      <c r="S655" s="19"/>
    </row>
    <row r="656" spans="1:19">
      <c r="A656" s="19" t="s">
        <v>655</v>
      </c>
      <c r="B656" s="19" t="s">
        <v>823</v>
      </c>
      <c r="C656" s="19" t="s">
        <v>828</v>
      </c>
      <c r="D656" s="20">
        <v>0</v>
      </c>
      <c r="E656" s="19" t="s">
        <v>850</v>
      </c>
      <c r="F656" s="19" t="s">
        <v>874</v>
      </c>
      <c r="G656" s="19" t="s">
        <v>898</v>
      </c>
      <c r="H656" s="19" t="s">
        <v>924</v>
      </c>
      <c r="I656" s="19" t="s">
        <v>989</v>
      </c>
      <c r="J656" s="19" t="s">
        <v>1004</v>
      </c>
      <c r="K656" s="24">
        <v>46196</v>
      </c>
      <c r="L656" s="19"/>
      <c r="M656" s="19"/>
      <c r="N656" s="21">
        <v>0</v>
      </c>
      <c r="O656" s="23">
        <v>222.02</v>
      </c>
      <c r="P656" s="19" t="s">
        <v>1015</v>
      </c>
      <c r="Q656" s="20">
        <v>0</v>
      </c>
      <c r="R656" s="19" t="s">
        <v>1023</v>
      </c>
      <c r="S656" s="19"/>
    </row>
    <row r="657" spans="1:19">
      <c r="A657" s="19" t="s">
        <v>656</v>
      </c>
      <c r="B657" s="19" t="s">
        <v>824</v>
      </c>
      <c r="C657" s="19" t="s">
        <v>829</v>
      </c>
      <c r="D657" s="20">
        <v>0</v>
      </c>
      <c r="E657" s="19" t="s">
        <v>842</v>
      </c>
      <c r="F657" s="19" t="s">
        <v>866</v>
      </c>
      <c r="G657" s="19" t="s">
        <v>890</v>
      </c>
      <c r="H657" s="19" t="s">
        <v>910</v>
      </c>
      <c r="I657" s="19" t="s">
        <v>989</v>
      </c>
      <c r="J657" s="19" t="s">
        <v>1004</v>
      </c>
      <c r="K657" s="24">
        <v>46196</v>
      </c>
      <c r="L657" s="19"/>
      <c r="M657" s="19"/>
      <c r="N657" s="21">
        <v>0</v>
      </c>
      <c r="O657" s="23">
        <v>320</v>
      </c>
      <c r="P657" s="19" t="s">
        <v>1015</v>
      </c>
      <c r="Q657" s="20">
        <v>0</v>
      </c>
      <c r="R657" s="19" t="s">
        <v>1021</v>
      </c>
      <c r="S657" s="19"/>
    </row>
    <row r="658" spans="1:19">
      <c r="A658" s="19" t="s">
        <v>657</v>
      </c>
      <c r="B658" s="19" t="s">
        <v>823</v>
      </c>
      <c r="C658" s="19" t="s">
        <v>828</v>
      </c>
      <c r="D658" s="20">
        <v>0</v>
      </c>
      <c r="E658" s="19" t="s">
        <v>848</v>
      </c>
      <c r="F658" s="19" t="s">
        <v>872</v>
      </c>
      <c r="G658" s="19" t="s">
        <v>896</v>
      </c>
      <c r="H658" s="19" t="s">
        <v>924</v>
      </c>
      <c r="I658" s="19" t="s">
        <v>989</v>
      </c>
      <c r="J658" s="19" t="s">
        <v>1004</v>
      </c>
      <c r="K658" s="24">
        <v>46197</v>
      </c>
      <c r="L658" s="19"/>
      <c r="M658" s="19"/>
      <c r="N658" s="21">
        <v>0</v>
      </c>
      <c r="O658" s="23">
        <v>1718.23</v>
      </c>
      <c r="P658" s="19" t="s">
        <v>1015</v>
      </c>
      <c r="Q658" s="20">
        <v>0</v>
      </c>
      <c r="R658" s="19" t="s">
        <v>1022</v>
      </c>
      <c r="S658" s="19"/>
    </row>
    <row r="659" spans="1:19">
      <c r="A659" s="19" t="s">
        <v>658</v>
      </c>
      <c r="B659" s="19" t="s">
        <v>823</v>
      </c>
      <c r="C659" s="19" t="s">
        <v>828</v>
      </c>
      <c r="D659" s="20">
        <v>0</v>
      </c>
      <c r="E659" s="19" t="s">
        <v>854</v>
      </c>
      <c r="F659" s="19" t="s">
        <v>878</v>
      </c>
      <c r="G659" s="19" t="s">
        <v>902</v>
      </c>
      <c r="H659" s="19" t="s">
        <v>906</v>
      </c>
      <c r="I659" s="19" t="s">
        <v>989</v>
      </c>
      <c r="J659" s="19" t="s">
        <v>1004</v>
      </c>
      <c r="K659" s="24">
        <v>46197</v>
      </c>
      <c r="L659" s="19"/>
      <c r="M659" s="19"/>
      <c r="N659" s="21">
        <v>0</v>
      </c>
      <c r="O659" s="23">
        <v>454.32</v>
      </c>
      <c r="P659" s="19" t="s">
        <v>1015</v>
      </c>
      <c r="Q659" s="20">
        <v>0</v>
      </c>
      <c r="R659" s="19" t="s">
        <v>1023</v>
      </c>
      <c r="S659" s="19"/>
    </row>
    <row r="660" spans="1:19">
      <c r="A660" s="19" t="s">
        <v>659</v>
      </c>
      <c r="B660" s="19" t="s">
        <v>823</v>
      </c>
      <c r="C660" s="19" t="s">
        <v>828</v>
      </c>
      <c r="D660" s="20">
        <v>0</v>
      </c>
      <c r="E660" s="19" t="s">
        <v>835</v>
      </c>
      <c r="F660" s="19" t="s">
        <v>859</v>
      </c>
      <c r="G660" s="19" t="s">
        <v>883</v>
      </c>
      <c r="H660" s="19" t="s">
        <v>924</v>
      </c>
      <c r="I660" s="19" t="s">
        <v>989</v>
      </c>
      <c r="J660" s="19" t="s">
        <v>1004</v>
      </c>
      <c r="K660" s="24">
        <v>46198</v>
      </c>
      <c r="L660" s="19"/>
      <c r="M660" s="19"/>
      <c r="N660" s="21">
        <v>0</v>
      </c>
      <c r="O660" s="23">
        <v>322.31</v>
      </c>
      <c r="P660" s="19" t="s">
        <v>1014</v>
      </c>
      <c r="Q660" s="20">
        <v>0</v>
      </c>
      <c r="R660" s="19" t="s">
        <v>1021</v>
      </c>
      <c r="S660" s="19"/>
    </row>
    <row r="661" spans="1:19">
      <c r="A661" s="19" t="s">
        <v>660</v>
      </c>
      <c r="B661" s="19" t="s">
        <v>826</v>
      </c>
      <c r="C661" s="19" t="s">
        <v>831</v>
      </c>
      <c r="D661" s="20">
        <v>1</v>
      </c>
      <c r="E661" s="19" t="s">
        <v>843</v>
      </c>
      <c r="F661" s="19" t="s">
        <v>867</v>
      </c>
      <c r="G661" s="19" t="s">
        <v>891</v>
      </c>
      <c r="H661" s="19" t="s">
        <v>928</v>
      </c>
      <c r="I661" s="19" t="s">
        <v>991</v>
      </c>
      <c r="J661" s="19" t="s">
        <v>1006</v>
      </c>
      <c r="K661" s="24">
        <v>46198</v>
      </c>
      <c r="L661" s="26">
        <v>46198.66597222222</v>
      </c>
      <c r="M661" s="26">
        <v>46198.76180555556</v>
      </c>
      <c r="N661" s="21">
        <v>2.3</v>
      </c>
      <c r="O661" s="23">
        <v>2289.38</v>
      </c>
      <c r="P661" s="19" t="s">
        <v>1015</v>
      </c>
      <c r="Q661" s="20">
        <v>0</v>
      </c>
      <c r="R661" s="19" t="s">
        <v>1022</v>
      </c>
      <c r="S661" s="19"/>
    </row>
    <row r="662" spans="1:19">
      <c r="A662" s="19" t="s">
        <v>661</v>
      </c>
      <c r="B662" s="19" t="s">
        <v>826</v>
      </c>
      <c r="C662" s="19" t="s">
        <v>831</v>
      </c>
      <c r="D662" s="20">
        <v>1</v>
      </c>
      <c r="E662" s="19" t="s">
        <v>845</v>
      </c>
      <c r="F662" s="19" t="s">
        <v>869</v>
      </c>
      <c r="G662" s="19" t="s">
        <v>893</v>
      </c>
      <c r="H662" s="19" t="s">
        <v>958</v>
      </c>
      <c r="I662" s="19" t="s">
        <v>992</v>
      </c>
      <c r="J662" s="19" t="s">
        <v>1006</v>
      </c>
      <c r="K662" s="24">
        <v>46199</v>
      </c>
      <c r="L662" s="26">
        <v>46199.00972222222</v>
      </c>
      <c r="M662" s="26">
        <v>46199.47222222222</v>
      </c>
      <c r="N662" s="21">
        <v>11.1</v>
      </c>
      <c r="O662" s="23">
        <v>8869.32</v>
      </c>
      <c r="P662" s="19" t="s">
        <v>1015</v>
      </c>
      <c r="Q662" s="20">
        <v>0</v>
      </c>
      <c r="R662" s="19" t="s">
        <v>1022</v>
      </c>
      <c r="S662" s="19"/>
    </row>
    <row r="663" spans="1:19">
      <c r="A663" s="19" t="s">
        <v>662</v>
      </c>
      <c r="B663" s="19" t="s">
        <v>825</v>
      </c>
      <c r="C663" s="19" t="s">
        <v>830</v>
      </c>
      <c r="D663" s="20">
        <v>1</v>
      </c>
      <c r="E663" s="19" t="s">
        <v>836</v>
      </c>
      <c r="F663" s="19" t="s">
        <v>860</v>
      </c>
      <c r="G663" s="19" t="s">
        <v>884</v>
      </c>
      <c r="H663" s="19" t="s">
        <v>985</v>
      </c>
      <c r="I663" s="19" t="s">
        <v>999</v>
      </c>
      <c r="J663" s="19" t="s">
        <v>1005</v>
      </c>
      <c r="K663" s="24">
        <v>46199</v>
      </c>
      <c r="L663" s="26">
        <v>46199.17430555556</v>
      </c>
      <c r="M663" s="26">
        <v>46199.37013888889</v>
      </c>
      <c r="N663" s="21">
        <v>4.7</v>
      </c>
      <c r="O663" s="23">
        <v>2895.42</v>
      </c>
      <c r="P663" s="19" t="s">
        <v>1014</v>
      </c>
      <c r="Q663" s="20">
        <v>0</v>
      </c>
      <c r="R663" s="19" t="s">
        <v>1022</v>
      </c>
      <c r="S663" s="19" t="s">
        <v>1036</v>
      </c>
    </row>
    <row r="664" spans="1:19">
      <c r="A664" s="19" t="s">
        <v>663</v>
      </c>
      <c r="B664" s="19" t="s">
        <v>823</v>
      </c>
      <c r="C664" s="19" t="s">
        <v>828</v>
      </c>
      <c r="D664" s="20">
        <v>0</v>
      </c>
      <c r="E664" s="19" t="s">
        <v>851</v>
      </c>
      <c r="F664" s="19" t="s">
        <v>875</v>
      </c>
      <c r="G664" s="19" t="s">
        <v>899</v>
      </c>
      <c r="H664" s="19" t="s">
        <v>907</v>
      </c>
      <c r="I664" s="19" t="s">
        <v>989</v>
      </c>
      <c r="J664" s="19" t="s">
        <v>1004</v>
      </c>
      <c r="K664" s="24">
        <v>46199</v>
      </c>
      <c r="L664" s="19"/>
      <c r="M664" s="19"/>
      <c r="N664" s="21">
        <v>0</v>
      </c>
      <c r="O664" s="23">
        <v>514.9299999999999</v>
      </c>
      <c r="P664" s="19" t="s">
        <v>1015</v>
      </c>
      <c r="Q664" s="20">
        <v>0</v>
      </c>
      <c r="R664" s="19" t="s">
        <v>1021</v>
      </c>
      <c r="S664" s="19"/>
    </row>
    <row r="665" spans="1:19">
      <c r="A665" s="19" t="s">
        <v>664</v>
      </c>
      <c r="B665" s="19" t="s">
        <v>823</v>
      </c>
      <c r="C665" s="19" t="s">
        <v>828</v>
      </c>
      <c r="D665" s="20">
        <v>0</v>
      </c>
      <c r="E665" s="19" t="s">
        <v>842</v>
      </c>
      <c r="F665" s="19" t="s">
        <v>866</v>
      </c>
      <c r="G665" s="19" t="s">
        <v>890</v>
      </c>
      <c r="H665" s="19" t="s">
        <v>911</v>
      </c>
      <c r="I665" s="19" t="s">
        <v>989</v>
      </c>
      <c r="J665" s="19" t="s">
        <v>1004</v>
      </c>
      <c r="K665" s="24">
        <v>46199</v>
      </c>
      <c r="L665" s="19"/>
      <c r="M665" s="19"/>
      <c r="N665" s="21">
        <v>0</v>
      </c>
      <c r="O665" s="23">
        <v>1024.96</v>
      </c>
      <c r="P665" s="19" t="s">
        <v>1015</v>
      </c>
      <c r="Q665" s="20">
        <v>0</v>
      </c>
      <c r="R665" s="19" t="s">
        <v>1023</v>
      </c>
      <c r="S665" s="19"/>
    </row>
    <row r="666" spans="1:19">
      <c r="A666" s="19" t="s">
        <v>665</v>
      </c>
      <c r="B666" s="19" t="s">
        <v>824</v>
      </c>
      <c r="C666" s="19" t="s">
        <v>829</v>
      </c>
      <c r="D666" s="20">
        <v>0</v>
      </c>
      <c r="E666" s="19" t="s">
        <v>841</v>
      </c>
      <c r="F666" s="19" t="s">
        <v>865</v>
      </c>
      <c r="G666" s="19" t="s">
        <v>889</v>
      </c>
      <c r="H666" s="19" t="s">
        <v>908</v>
      </c>
      <c r="I666" s="19" t="s">
        <v>989</v>
      </c>
      <c r="J666" s="19" t="s">
        <v>1004</v>
      </c>
      <c r="K666" s="24">
        <v>46199</v>
      </c>
      <c r="L666" s="19"/>
      <c r="M666" s="19"/>
      <c r="N666" s="21">
        <v>0</v>
      </c>
      <c r="O666" s="23">
        <v>480</v>
      </c>
      <c r="P666" s="19" t="s">
        <v>1014</v>
      </c>
      <c r="Q666" s="20">
        <v>0</v>
      </c>
      <c r="R666" s="19" t="s">
        <v>1021</v>
      </c>
      <c r="S666" s="19"/>
    </row>
    <row r="667" spans="1:19">
      <c r="A667" s="19" t="s">
        <v>666</v>
      </c>
      <c r="B667" s="19" t="s">
        <v>825</v>
      </c>
      <c r="C667" s="19" t="s">
        <v>830</v>
      </c>
      <c r="D667" s="20">
        <v>1</v>
      </c>
      <c r="E667" s="19" t="s">
        <v>834</v>
      </c>
      <c r="F667" s="19" t="s">
        <v>858</v>
      </c>
      <c r="G667" s="19" t="s">
        <v>882</v>
      </c>
      <c r="H667" s="19" t="s">
        <v>976</v>
      </c>
      <c r="I667" s="19" t="s">
        <v>991</v>
      </c>
      <c r="J667" s="19" t="s">
        <v>1006</v>
      </c>
      <c r="K667" s="24">
        <v>46200</v>
      </c>
      <c r="L667" s="26">
        <v>46200.11875</v>
      </c>
      <c r="M667" s="26">
        <v>46200.19375</v>
      </c>
      <c r="N667" s="21">
        <v>1.8</v>
      </c>
      <c r="O667" s="23">
        <v>8184.01</v>
      </c>
      <c r="P667" s="19" t="s">
        <v>1014</v>
      </c>
      <c r="Q667" s="20">
        <v>0</v>
      </c>
      <c r="R667" s="19" t="s">
        <v>1023</v>
      </c>
      <c r="S667" s="19"/>
    </row>
    <row r="668" spans="1:19">
      <c r="A668" s="19" t="s">
        <v>667</v>
      </c>
      <c r="B668" s="19" t="s">
        <v>823</v>
      </c>
      <c r="C668" s="19" t="s">
        <v>828</v>
      </c>
      <c r="D668" s="20">
        <v>0</v>
      </c>
      <c r="E668" s="19" t="s">
        <v>845</v>
      </c>
      <c r="F668" s="19" t="s">
        <v>869</v>
      </c>
      <c r="G668" s="19" t="s">
        <v>893</v>
      </c>
      <c r="H668" s="19" t="s">
        <v>909</v>
      </c>
      <c r="I668" s="19" t="s">
        <v>989</v>
      </c>
      <c r="J668" s="19" t="s">
        <v>1004</v>
      </c>
      <c r="K668" s="24">
        <v>46201</v>
      </c>
      <c r="L668" s="19"/>
      <c r="M668" s="19"/>
      <c r="N668" s="21">
        <v>0</v>
      </c>
      <c r="O668" s="23">
        <v>1443.02</v>
      </c>
      <c r="P668" s="19" t="s">
        <v>1015</v>
      </c>
      <c r="Q668" s="20">
        <v>0</v>
      </c>
      <c r="R668" s="19" t="s">
        <v>1023</v>
      </c>
      <c r="S668" s="19"/>
    </row>
    <row r="669" spans="1:19">
      <c r="A669" s="19" t="s">
        <v>668</v>
      </c>
      <c r="B669" s="19" t="s">
        <v>824</v>
      </c>
      <c r="C669" s="19" t="s">
        <v>829</v>
      </c>
      <c r="D669" s="20">
        <v>0</v>
      </c>
      <c r="E669" s="19" t="s">
        <v>836</v>
      </c>
      <c r="F669" s="19" t="s">
        <v>860</v>
      </c>
      <c r="G669" s="19" t="s">
        <v>884</v>
      </c>
      <c r="H669" s="19" t="s">
        <v>925</v>
      </c>
      <c r="I669" s="19" t="s">
        <v>989</v>
      </c>
      <c r="J669" s="19" t="s">
        <v>1004</v>
      </c>
      <c r="K669" s="24">
        <v>46201</v>
      </c>
      <c r="L669" s="19"/>
      <c r="M669" s="19"/>
      <c r="N669" s="21">
        <v>0</v>
      </c>
      <c r="O669" s="23">
        <v>120</v>
      </c>
      <c r="P669" s="19" t="s">
        <v>1015</v>
      </c>
      <c r="Q669" s="20">
        <v>0</v>
      </c>
      <c r="R669" s="19" t="s">
        <v>1023</v>
      </c>
      <c r="S669" s="19"/>
    </row>
    <row r="670" spans="1:19">
      <c r="A670" s="19" t="s">
        <v>669</v>
      </c>
      <c r="B670" s="19" t="s">
        <v>825</v>
      </c>
      <c r="C670" s="19" t="s">
        <v>830</v>
      </c>
      <c r="D670" s="20">
        <v>1</v>
      </c>
      <c r="E670" s="19" t="s">
        <v>852</v>
      </c>
      <c r="F670" s="19" t="s">
        <v>876</v>
      </c>
      <c r="G670" s="19" t="s">
        <v>900</v>
      </c>
      <c r="H670" s="19" t="s">
        <v>919</v>
      </c>
      <c r="I670" s="19" t="s">
        <v>993</v>
      </c>
      <c r="J670" s="19" t="s">
        <v>1006</v>
      </c>
      <c r="K670" s="24">
        <v>46202</v>
      </c>
      <c r="L670" s="26">
        <v>46202.13611111111</v>
      </c>
      <c r="M670" s="26">
        <v>46202.56111111111</v>
      </c>
      <c r="N670" s="21">
        <v>10.2</v>
      </c>
      <c r="O670" s="23">
        <v>2997.07</v>
      </c>
      <c r="P670" s="19" t="s">
        <v>1015</v>
      </c>
      <c r="Q670" s="20">
        <v>0</v>
      </c>
      <c r="R670" s="19" t="s">
        <v>1022</v>
      </c>
      <c r="S670" s="19"/>
    </row>
    <row r="671" spans="1:19">
      <c r="A671" s="19" t="s">
        <v>670</v>
      </c>
      <c r="B671" s="19" t="s">
        <v>823</v>
      </c>
      <c r="C671" s="19" t="s">
        <v>828</v>
      </c>
      <c r="D671" s="20">
        <v>0</v>
      </c>
      <c r="E671" s="19" t="s">
        <v>837</v>
      </c>
      <c r="F671" s="19" t="s">
        <v>861</v>
      </c>
      <c r="G671" s="19" t="s">
        <v>885</v>
      </c>
      <c r="H671" s="19" t="s">
        <v>911</v>
      </c>
      <c r="I671" s="19" t="s">
        <v>989</v>
      </c>
      <c r="J671" s="19" t="s">
        <v>1004</v>
      </c>
      <c r="K671" s="24">
        <v>46202</v>
      </c>
      <c r="L671" s="19"/>
      <c r="M671" s="19"/>
      <c r="N671" s="21">
        <v>0</v>
      </c>
      <c r="O671" s="23">
        <v>764.51</v>
      </c>
      <c r="P671" s="19" t="s">
        <v>1015</v>
      </c>
      <c r="Q671" s="20">
        <v>0</v>
      </c>
      <c r="R671" s="19" t="s">
        <v>1021</v>
      </c>
      <c r="S671" s="19"/>
    </row>
    <row r="672" spans="1:19">
      <c r="A672" s="19" t="s">
        <v>671</v>
      </c>
      <c r="B672" s="19" t="s">
        <v>824</v>
      </c>
      <c r="C672" s="19" t="s">
        <v>829</v>
      </c>
      <c r="D672" s="20">
        <v>0</v>
      </c>
      <c r="E672" s="19" t="s">
        <v>838</v>
      </c>
      <c r="F672" s="19" t="s">
        <v>862</v>
      </c>
      <c r="G672" s="19" t="s">
        <v>886</v>
      </c>
      <c r="H672" s="19" t="s">
        <v>925</v>
      </c>
      <c r="I672" s="19" t="s">
        <v>989</v>
      </c>
      <c r="J672" s="19" t="s">
        <v>1004</v>
      </c>
      <c r="K672" s="24">
        <v>46202</v>
      </c>
      <c r="L672" s="19"/>
      <c r="M672" s="19"/>
      <c r="N672" s="21">
        <v>0</v>
      </c>
      <c r="O672" s="23">
        <v>80</v>
      </c>
      <c r="P672" s="19" t="s">
        <v>1015</v>
      </c>
      <c r="Q672" s="20">
        <v>0</v>
      </c>
      <c r="R672" s="19" t="s">
        <v>1022</v>
      </c>
      <c r="S672" s="19"/>
    </row>
    <row r="673" spans="1:19">
      <c r="A673" s="19" t="s">
        <v>672</v>
      </c>
      <c r="B673" s="19" t="s">
        <v>824</v>
      </c>
      <c r="C673" s="19" t="s">
        <v>829</v>
      </c>
      <c r="D673" s="20">
        <v>0</v>
      </c>
      <c r="E673" s="19" t="s">
        <v>855</v>
      </c>
      <c r="F673" s="19" t="s">
        <v>879</v>
      </c>
      <c r="G673" s="19" t="s">
        <v>903</v>
      </c>
      <c r="H673" s="19" t="s">
        <v>914</v>
      </c>
      <c r="I673" s="19" t="s">
        <v>989</v>
      </c>
      <c r="J673" s="19" t="s">
        <v>1004</v>
      </c>
      <c r="K673" s="24">
        <v>46202</v>
      </c>
      <c r="L673" s="19"/>
      <c r="M673" s="19"/>
      <c r="N673" s="21">
        <v>0</v>
      </c>
      <c r="O673" s="23">
        <v>100</v>
      </c>
      <c r="P673" s="19" t="s">
        <v>1016</v>
      </c>
      <c r="Q673" s="20">
        <v>1</v>
      </c>
      <c r="R673" s="19" t="s">
        <v>1022</v>
      </c>
      <c r="S673" s="19"/>
    </row>
    <row r="674" spans="1:19">
      <c r="A674" s="19" t="s">
        <v>673</v>
      </c>
      <c r="B674" s="19" t="s">
        <v>824</v>
      </c>
      <c r="C674" s="19" t="s">
        <v>829</v>
      </c>
      <c r="D674" s="20">
        <v>0</v>
      </c>
      <c r="E674" s="19" t="s">
        <v>835</v>
      </c>
      <c r="F674" s="19" t="s">
        <v>859</v>
      </c>
      <c r="G674" s="19" t="s">
        <v>883</v>
      </c>
      <c r="H674" s="19" t="s">
        <v>925</v>
      </c>
      <c r="I674" s="19" t="s">
        <v>989</v>
      </c>
      <c r="J674" s="19" t="s">
        <v>1004</v>
      </c>
      <c r="K674" s="24">
        <v>46203</v>
      </c>
      <c r="L674" s="19"/>
      <c r="M674" s="19"/>
      <c r="N674" s="21">
        <v>0</v>
      </c>
      <c r="O674" s="23">
        <v>152</v>
      </c>
      <c r="P674" s="19" t="s">
        <v>1014</v>
      </c>
      <c r="Q674" s="20">
        <v>0</v>
      </c>
      <c r="R674" s="19" t="s">
        <v>1021</v>
      </c>
      <c r="S674" s="19"/>
    </row>
    <row r="675" spans="1:19">
      <c r="A675" s="19" t="s">
        <v>674</v>
      </c>
      <c r="B675" s="19" t="s">
        <v>823</v>
      </c>
      <c r="C675" s="19" t="s">
        <v>828</v>
      </c>
      <c r="D675" s="20">
        <v>0</v>
      </c>
      <c r="E675" s="19" t="s">
        <v>852</v>
      </c>
      <c r="F675" s="19" t="s">
        <v>876</v>
      </c>
      <c r="G675" s="19" t="s">
        <v>900</v>
      </c>
      <c r="H675" s="19" t="s">
        <v>917</v>
      </c>
      <c r="I675" s="19" t="s">
        <v>989</v>
      </c>
      <c r="J675" s="19" t="s">
        <v>1004</v>
      </c>
      <c r="K675" s="24">
        <v>46204</v>
      </c>
      <c r="L675" s="19"/>
      <c r="M675" s="19"/>
      <c r="N675" s="21">
        <v>0</v>
      </c>
      <c r="O675" s="23">
        <v>783.58</v>
      </c>
      <c r="P675" s="19" t="s">
        <v>1014</v>
      </c>
      <c r="Q675" s="20">
        <v>0</v>
      </c>
      <c r="R675" s="19" t="s">
        <v>1021</v>
      </c>
      <c r="S675" s="19"/>
    </row>
    <row r="676" spans="1:19">
      <c r="A676" s="19" t="s">
        <v>675</v>
      </c>
      <c r="B676" s="19" t="s">
        <v>825</v>
      </c>
      <c r="C676" s="19" t="s">
        <v>830</v>
      </c>
      <c r="D676" s="20">
        <v>1</v>
      </c>
      <c r="E676" s="19" t="s">
        <v>843</v>
      </c>
      <c r="F676" s="19" t="s">
        <v>867</v>
      </c>
      <c r="G676" s="19" t="s">
        <v>891</v>
      </c>
      <c r="H676" s="19" t="s">
        <v>962</v>
      </c>
      <c r="I676" s="19" t="s">
        <v>1000</v>
      </c>
      <c r="J676" s="19" t="s">
        <v>1005</v>
      </c>
      <c r="K676" s="24">
        <v>46204</v>
      </c>
      <c r="L676" s="26">
        <v>46204.75069444445</v>
      </c>
      <c r="M676" s="26">
        <v>46205.10069444445</v>
      </c>
      <c r="N676" s="21">
        <v>0</v>
      </c>
      <c r="O676" s="23">
        <v>2700.38</v>
      </c>
      <c r="P676" s="19" t="s">
        <v>1015</v>
      </c>
      <c r="Q676" s="20">
        <v>0</v>
      </c>
      <c r="R676" s="19" t="s">
        <v>1023</v>
      </c>
      <c r="S676" s="19" t="s">
        <v>1032</v>
      </c>
    </row>
    <row r="677" spans="1:19">
      <c r="A677" s="19" t="s">
        <v>676</v>
      </c>
      <c r="B677" s="19" t="s">
        <v>826</v>
      </c>
      <c r="C677" s="19" t="s">
        <v>831</v>
      </c>
      <c r="D677" s="20">
        <v>1</v>
      </c>
      <c r="E677" s="19" t="s">
        <v>844</v>
      </c>
      <c r="F677" s="19" t="s">
        <v>868</v>
      </c>
      <c r="G677" s="19" t="s">
        <v>892</v>
      </c>
      <c r="H677" s="19" t="s">
        <v>972</v>
      </c>
      <c r="I677" s="19" t="s">
        <v>996</v>
      </c>
      <c r="J677" s="19" t="s">
        <v>1006</v>
      </c>
      <c r="K677" s="24">
        <v>46205</v>
      </c>
      <c r="L677" s="26">
        <v>46205.07222222222</v>
      </c>
      <c r="M677" s="26">
        <v>46205.35555555556</v>
      </c>
      <c r="N677" s="21">
        <v>6.8</v>
      </c>
      <c r="O677" s="23">
        <v>1409.94</v>
      </c>
      <c r="P677" s="19" t="s">
        <v>1015</v>
      </c>
      <c r="Q677" s="20">
        <v>0</v>
      </c>
      <c r="R677" s="19" t="s">
        <v>1024</v>
      </c>
      <c r="S677" s="19"/>
    </row>
    <row r="678" spans="1:19">
      <c r="A678" s="19" t="s">
        <v>677</v>
      </c>
      <c r="B678" s="19" t="s">
        <v>825</v>
      </c>
      <c r="C678" s="19" t="s">
        <v>830</v>
      </c>
      <c r="D678" s="20">
        <v>1</v>
      </c>
      <c r="E678" s="19" t="s">
        <v>845</v>
      </c>
      <c r="F678" s="19" t="s">
        <v>869</v>
      </c>
      <c r="G678" s="19" t="s">
        <v>893</v>
      </c>
      <c r="H678" s="19" t="s">
        <v>943</v>
      </c>
      <c r="I678" s="19" t="s">
        <v>995</v>
      </c>
      <c r="J678" s="19" t="s">
        <v>1007</v>
      </c>
      <c r="K678" s="24">
        <v>46205</v>
      </c>
      <c r="L678" s="26">
        <v>46205.28194444445</v>
      </c>
      <c r="M678" s="26">
        <v>46205.56944444445</v>
      </c>
      <c r="N678" s="21">
        <v>6.9</v>
      </c>
      <c r="O678" s="23">
        <v>17590.03</v>
      </c>
      <c r="P678" s="19" t="s">
        <v>1015</v>
      </c>
      <c r="Q678" s="20">
        <v>0</v>
      </c>
      <c r="R678" s="19" t="s">
        <v>1021</v>
      </c>
      <c r="S678" s="19"/>
    </row>
    <row r="679" spans="1:19">
      <c r="A679" s="19" t="s">
        <v>678</v>
      </c>
      <c r="B679" s="19" t="s">
        <v>823</v>
      </c>
      <c r="C679" s="19" t="s">
        <v>828</v>
      </c>
      <c r="D679" s="20">
        <v>0</v>
      </c>
      <c r="E679" s="19" t="s">
        <v>846</v>
      </c>
      <c r="F679" s="19" t="s">
        <v>870</v>
      </c>
      <c r="G679" s="19" t="s">
        <v>894</v>
      </c>
      <c r="H679" s="19" t="s">
        <v>906</v>
      </c>
      <c r="I679" s="19" t="s">
        <v>989</v>
      </c>
      <c r="J679" s="19" t="s">
        <v>1004</v>
      </c>
      <c r="K679" s="24">
        <v>46205</v>
      </c>
      <c r="L679" s="19"/>
      <c r="M679" s="19"/>
      <c r="N679" s="21">
        <v>0</v>
      </c>
      <c r="O679" s="23">
        <v>379.97</v>
      </c>
      <c r="P679" s="19" t="s">
        <v>1014</v>
      </c>
      <c r="Q679" s="20">
        <v>0</v>
      </c>
      <c r="R679" s="19" t="s">
        <v>1022</v>
      </c>
      <c r="S679" s="19"/>
    </row>
    <row r="680" spans="1:19">
      <c r="A680" s="19" t="s">
        <v>679</v>
      </c>
      <c r="B680" s="19" t="s">
        <v>823</v>
      </c>
      <c r="C680" s="19" t="s">
        <v>828</v>
      </c>
      <c r="D680" s="20">
        <v>0</v>
      </c>
      <c r="E680" s="19" t="s">
        <v>836</v>
      </c>
      <c r="F680" s="19" t="s">
        <v>860</v>
      </c>
      <c r="G680" s="19" t="s">
        <v>884</v>
      </c>
      <c r="H680" s="19" t="s">
        <v>911</v>
      </c>
      <c r="I680" s="19" t="s">
        <v>989</v>
      </c>
      <c r="J680" s="19" t="s">
        <v>1004</v>
      </c>
      <c r="K680" s="24">
        <v>46205</v>
      </c>
      <c r="L680" s="19"/>
      <c r="M680" s="19"/>
      <c r="N680" s="21">
        <v>0</v>
      </c>
      <c r="O680" s="23">
        <v>662.21</v>
      </c>
      <c r="P680" s="19" t="s">
        <v>1014</v>
      </c>
      <c r="Q680" s="20">
        <v>0</v>
      </c>
      <c r="R680" s="19" t="s">
        <v>1022</v>
      </c>
      <c r="S680" s="19"/>
    </row>
    <row r="681" spans="1:19">
      <c r="A681" s="19" t="s">
        <v>680</v>
      </c>
      <c r="B681" s="19" t="s">
        <v>823</v>
      </c>
      <c r="C681" s="19" t="s">
        <v>828</v>
      </c>
      <c r="D681" s="20">
        <v>0</v>
      </c>
      <c r="E681" s="19" t="s">
        <v>856</v>
      </c>
      <c r="F681" s="19" t="s">
        <v>880</v>
      </c>
      <c r="G681" s="19" t="s">
        <v>904</v>
      </c>
      <c r="H681" s="19" t="s">
        <v>911</v>
      </c>
      <c r="I681" s="19" t="s">
        <v>989</v>
      </c>
      <c r="J681" s="19" t="s">
        <v>1004</v>
      </c>
      <c r="K681" s="24">
        <v>46206</v>
      </c>
      <c r="L681" s="19"/>
      <c r="M681" s="19"/>
      <c r="N681" s="21">
        <v>0</v>
      </c>
      <c r="O681" s="23">
        <v>166.37</v>
      </c>
      <c r="P681" s="19" t="s">
        <v>1014</v>
      </c>
      <c r="Q681" s="20">
        <v>0</v>
      </c>
      <c r="R681" s="19" t="s">
        <v>1021</v>
      </c>
      <c r="S681" s="19"/>
    </row>
    <row r="682" spans="1:19">
      <c r="A682" s="19" t="s">
        <v>681</v>
      </c>
      <c r="B682" s="19" t="s">
        <v>823</v>
      </c>
      <c r="C682" s="19" t="s">
        <v>828</v>
      </c>
      <c r="D682" s="20">
        <v>0</v>
      </c>
      <c r="E682" s="19" t="s">
        <v>847</v>
      </c>
      <c r="F682" s="19" t="s">
        <v>871</v>
      </c>
      <c r="G682" s="19" t="s">
        <v>895</v>
      </c>
      <c r="H682" s="19" t="s">
        <v>917</v>
      </c>
      <c r="I682" s="19" t="s">
        <v>989</v>
      </c>
      <c r="J682" s="19" t="s">
        <v>1004</v>
      </c>
      <c r="K682" s="24">
        <v>46206</v>
      </c>
      <c r="L682" s="19"/>
      <c r="M682" s="19"/>
      <c r="N682" s="21">
        <v>0</v>
      </c>
      <c r="O682" s="23">
        <v>274.78</v>
      </c>
      <c r="P682" s="19" t="s">
        <v>1016</v>
      </c>
      <c r="Q682" s="20">
        <v>1</v>
      </c>
      <c r="R682" s="19" t="s">
        <v>1022</v>
      </c>
      <c r="S682" s="19"/>
    </row>
    <row r="683" spans="1:19">
      <c r="A683" s="19" t="s">
        <v>682</v>
      </c>
      <c r="B683" s="19" t="s">
        <v>824</v>
      </c>
      <c r="C683" s="19" t="s">
        <v>829</v>
      </c>
      <c r="D683" s="20">
        <v>0</v>
      </c>
      <c r="E683" s="19" t="s">
        <v>845</v>
      </c>
      <c r="F683" s="19" t="s">
        <v>869</v>
      </c>
      <c r="G683" s="19" t="s">
        <v>893</v>
      </c>
      <c r="H683" s="19" t="s">
        <v>914</v>
      </c>
      <c r="I683" s="19" t="s">
        <v>989</v>
      </c>
      <c r="J683" s="19" t="s">
        <v>1004</v>
      </c>
      <c r="K683" s="24">
        <v>46206</v>
      </c>
      <c r="L683" s="19"/>
      <c r="M683" s="19"/>
      <c r="N683" s="21">
        <v>0</v>
      </c>
      <c r="O683" s="23">
        <v>360</v>
      </c>
      <c r="P683" s="19" t="s">
        <v>1014</v>
      </c>
      <c r="Q683" s="20">
        <v>0</v>
      </c>
      <c r="R683" s="19" t="s">
        <v>1022</v>
      </c>
      <c r="S683" s="19"/>
    </row>
    <row r="684" spans="1:19">
      <c r="A684" s="19" t="s">
        <v>683</v>
      </c>
      <c r="B684" s="19" t="s">
        <v>824</v>
      </c>
      <c r="C684" s="19" t="s">
        <v>829</v>
      </c>
      <c r="D684" s="20">
        <v>0</v>
      </c>
      <c r="E684" s="19" t="s">
        <v>846</v>
      </c>
      <c r="F684" s="19" t="s">
        <v>870</v>
      </c>
      <c r="G684" s="19" t="s">
        <v>894</v>
      </c>
      <c r="H684" s="19" t="s">
        <v>914</v>
      </c>
      <c r="I684" s="19" t="s">
        <v>989</v>
      </c>
      <c r="J684" s="19" t="s">
        <v>1004</v>
      </c>
      <c r="K684" s="24">
        <v>46206</v>
      </c>
      <c r="L684" s="19"/>
      <c r="M684" s="19"/>
      <c r="N684" s="21">
        <v>0</v>
      </c>
      <c r="O684" s="23">
        <v>100</v>
      </c>
      <c r="P684" s="19" t="s">
        <v>1015</v>
      </c>
      <c r="Q684" s="20">
        <v>0</v>
      </c>
      <c r="R684" s="19" t="s">
        <v>1021</v>
      </c>
      <c r="S684" s="19"/>
    </row>
    <row r="685" spans="1:19">
      <c r="A685" s="19" t="s">
        <v>684</v>
      </c>
      <c r="B685" s="19" t="s">
        <v>824</v>
      </c>
      <c r="C685" s="19" t="s">
        <v>829</v>
      </c>
      <c r="D685" s="20">
        <v>0</v>
      </c>
      <c r="E685" s="19" t="s">
        <v>847</v>
      </c>
      <c r="F685" s="19" t="s">
        <v>871</v>
      </c>
      <c r="G685" s="19" t="s">
        <v>895</v>
      </c>
      <c r="H685" s="19" t="s">
        <v>914</v>
      </c>
      <c r="I685" s="19" t="s">
        <v>989</v>
      </c>
      <c r="J685" s="19" t="s">
        <v>1004</v>
      </c>
      <c r="K685" s="24">
        <v>46206</v>
      </c>
      <c r="L685" s="19"/>
      <c r="M685" s="19"/>
      <c r="N685" s="21">
        <v>0</v>
      </c>
      <c r="O685" s="23">
        <v>140</v>
      </c>
      <c r="P685" s="19" t="s">
        <v>1015</v>
      </c>
      <c r="Q685" s="20">
        <v>0</v>
      </c>
      <c r="R685" s="19" t="s">
        <v>1021</v>
      </c>
      <c r="S685" s="19"/>
    </row>
    <row r="686" spans="1:19">
      <c r="A686" s="19" t="s">
        <v>685</v>
      </c>
      <c r="B686" s="19" t="s">
        <v>823</v>
      </c>
      <c r="C686" s="19" t="s">
        <v>828</v>
      </c>
      <c r="D686" s="20">
        <v>0</v>
      </c>
      <c r="E686" s="19" t="s">
        <v>841</v>
      </c>
      <c r="F686" s="19" t="s">
        <v>865</v>
      </c>
      <c r="G686" s="19" t="s">
        <v>889</v>
      </c>
      <c r="H686" s="19" t="s">
        <v>911</v>
      </c>
      <c r="I686" s="19" t="s">
        <v>989</v>
      </c>
      <c r="J686" s="19" t="s">
        <v>1004</v>
      </c>
      <c r="K686" s="24">
        <v>46207</v>
      </c>
      <c r="L686" s="19"/>
      <c r="M686" s="19"/>
      <c r="N686" s="21">
        <v>0</v>
      </c>
      <c r="O686" s="23">
        <v>673.6</v>
      </c>
      <c r="P686" s="19" t="s">
        <v>1015</v>
      </c>
      <c r="Q686" s="20">
        <v>0</v>
      </c>
      <c r="R686" s="19" t="s">
        <v>1022</v>
      </c>
      <c r="S686" s="19"/>
    </row>
    <row r="687" spans="1:19">
      <c r="A687" s="19" t="s">
        <v>686</v>
      </c>
      <c r="B687" s="19" t="s">
        <v>823</v>
      </c>
      <c r="C687" s="19" t="s">
        <v>828</v>
      </c>
      <c r="D687" s="20">
        <v>0</v>
      </c>
      <c r="E687" s="19" t="s">
        <v>834</v>
      </c>
      <c r="F687" s="19" t="s">
        <v>858</v>
      </c>
      <c r="G687" s="19" t="s">
        <v>882</v>
      </c>
      <c r="H687" s="19" t="s">
        <v>912</v>
      </c>
      <c r="I687" s="19" t="s">
        <v>989</v>
      </c>
      <c r="J687" s="19" t="s">
        <v>1004</v>
      </c>
      <c r="K687" s="24">
        <v>46207</v>
      </c>
      <c r="L687" s="19"/>
      <c r="M687" s="19"/>
      <c r="N687" s="21">
        <v>0</v>
      </c>
      <c r="O687" s="23">
        <v>185.91</v>
      </c>
      <c r="P687" s="19" t="s">
        <v>1015</v>
      </c>
      <c r="Q687" s="20">
        <v>0</v>
      </c>
      <c r="R687" s="19" t="s">
        <v>1023</v>
      </c>
      <c r="S687" s="19"/>
    </row>
    <row r="688" spans="1:19">
      <c r="A688" s="19" t="s">
        <v>687</v>
      </c>
      <c r="B688" s="19" t="s">
        <v>823</v>
      </c>
      <c r="C688" s="19" t="s">
        <v>828</v>
      </c>
      <c r="D688" s="20">
        <v>0</v>
      </c>
      <c r="E688" s="19" t="s">
        <v>855</v>
      </c>
      <c r="F688" s="19" t="s">
        <v>879</v>
      </c>
      <c r="G688" s="19" t="s">
        <v>903</v>
      </c>
      <c r="H688" s="19" t="s">
        <v>917</v>
      </c>
      <c r="I688" s="19" t="s">
        <v>989</v>
      </c>
      <c r="J688" s="19" t="s">
        <v>1004</v>
      </c>
      <c r="K688" s="24">
        <v>46207</v>
      </c>
      <c r="L688" s="19"/>
      <c r="M688" s="19"/>
      <c r="N688" s="21">
        <v>0</v>
      </c>
      <c r="O688" s="23">
        <v>298.25</v>
      </c>
      <c r="P688" s="19" t="s">
        <v>1015</v>
      </c>
      <c r="Q688" s="20">
        <v>0</v>
      </c>
      <c r="R688" s="19" t="s">
        <v>1022</v>
      </c>
      <c r="S688" s="19"/>
    </row>
    <row r="689" spans="1:19">
      <c r="A689" s="19" t="s">
        <v>688</v>
      </c>
      <c r="B689" s="19" t="s">
        <v>823</v>
      </c>
      <c r="C689" s="19" t="s">
        <v>828</v>
      </c>
      <c r="D689" s="20">
        <v>0</v>
      </c>
      <c r="E689" s="19" t="s">
        <v>853</v>
      </c>
      <c r="F689" s="19" t="s">
        <v>877</v>
      </c>
      <c r="G689" s="19" t="s">
        <v>901</v>
      </c>
      <c r="H689" s="19" t="s">
        <v>924</v>
      </c>
      <c r="I689" s="19" t="s">
        <v>989</v>
      </c>
      <c r="J689" s="19" t="s">
        <v>1004</v>
      </c>
      <c r="K689" s="24">
        <v>46207</v>
      </c>
      <c r="L689" s="19"/>
      <c r="M689" s="19"/>
      <c r="N689" s="21">
        <v>0</v>
      </c>
      <c r="O689" s="23">
        <v>457.36</v>
      </c>
      <c r="P689" s="19" t="s">
        <v>1014</v>
      </c>
      <c r="Q689" s="20">
        <v>0</v>
      </c>
      <c r="R689" s="19" t="s">
        <v>1023</v>
      </c>
      <c r="S689" s="19"/>
    </row>
    <row r="690" spans="1:19">
      <c r="A690" s="19" t="s">
        <v>689</v>
      </c>
      <c r="B690" s="19" t="s">
        <v>824</v>
      </c>
      <c r="C690" s="19" t="s">
        <v>829</v>
      </c>
      <c r="D690" s="20">
        <v>0</v>
      </c>
      <c r="E690" s="19" t="s">
        <v>843</v>
      </c>
      <c r="F690" s="19" t="s">
        <v>867</v>
      </c>
      <c r="G690" s="19" t="s">
        <v>891</v>
      </c>
      <c r="H690" s="19" t="s">
        <v>910</v>
      </c>
      <c r="I690" s="19" t="s">
        <v>989</v>
      </c>
      <c r="J690" s="19" t="s">
        <v>1004</v>
      </c>
      <c r="K690" s="24">
        <v>46207</v>
      </c>
      <c r="L690" s="19"/>
      <c r="M690" s="19"/>
      <c r="N690" s="21">
        <v>0</v>
      </c>
      <c r="O690" s="23">
        <v>88</v>
      </c>
      <c r="P690" s="19" t="s">
        <v>1014</v>
      </c>
      <c r="Q690" s="20">
        <v>0</v>
      </c>
      <c r="R690" s="19" t="s">
        <v>1023</v>
      </c>
      <c r="S690" s="19"/>
    </row>
    <row r="691" spans="1:19">
      <c r="A691" s="19" t="s">
        <v>690</v>
      </c>
      <c r="B691" s="19" t="s">
        <v>824</v>
      </c>
      <c r="C691" s="19" t="s">
        <v>829</v>
      </c>
      <c r="D691" s="20">
        <v>0</v>
      </c>
      <c r="E691" s="19" t="s">
        <v>851</v>
      </c>
      <c r="F691" s="19" t="s">
        <v>875</v>
      </c>
      <c r="G691" s="19" t="s">
        <v>899</v>
      </c>
      <c r="H691" s="19" t="s">
        <v>914</v>
      </c>
      <c r="I691" s="19" t="s">
        <v>989</v>
      </c>
      <c r="J691" s="19" t="s">
        <v>1004</v>
      </c>
      <c r="K691" s="24">
        <v>46207</v>
      </c>
      <c r="L691" s="19"/>
      <c r="M691" s="19"/>
      <c r="N691" s="21">
        <v>0</v>
      </c>
      <c r="O691" s="23">
        <v>180</v>
      </c>
      <c r="P691" s="19" t="s">
        <v>1015</v>
      </c>
      <c r="Q691" s="20">
        <v>0</v>
      </c>
      <c r="R691" s="19" t="s">
        <v>1022</v>
      </c>
      <c r="S691" s="19"/>
    </row>
    <row r="692" spans="1:19">
      <c r="A692" s="19" t="s">
        <v>691</v>
      </c>
      <c r="B692" s="19" t="s">
        <v>825</v>
      </c>
      <c r="C692" s="19" t="s">
        <v>830</v>
      </c>
      <c r="D692" s="20">
        <v>1</v>
      </c>
      <c r="E692" s="19" t="s">
        <v>851</v>
      </c>
      <c r="F692" s="19" t="s">
        <v>875</v>
      </c>
      <c r="G692" s="19" t="s">
        <v>899</v>
      </c>
      <c r="H692" s="19" t="s">
        <v>970</v>
      </c>
      <c r="I692" s="19" t="s">
        <v>992</v>
      </c>
      <c r="J692" s="19" t="s">
        <v>1006</v>
      </c>
      <c r="K692" s="24">
        <v>46207</v>
      </c>
      <c r="L692" s="26">
        <v>46207.75</v>
      </c>
      <c r="M692" s="26">
        <v>46207.86666666667</v>
      </c>
      <c r="N692" s="21">
        <v>0</v>
      </c>
      <c r="O692" s="23">
        <v>5681.59</v>
      </c>
      <c r="P692" s="19" t="s">
        <v>1014</v>
      </c>
      <c r="Q692" s="20">
        <v>0</v>
      </c>
      <c r="R692" s="19" t="s">
        <v>1023</v>
      </c>
      <c r="S692" s="19"/>
    </row>
    <row r="693" spans="1:19">
      <c r="A693" s="19" t="s">
        <v>692</v>
      </c>
      <c r="B693" s="19" t="s">
        <v>826</v>
      </c>
      <c r="C693" s="19" t="s">
        <v>831</v>
      </c>
      <c r="D693" s="20">
        <v>1</v>
      </c>
      <c r="E693" s="19" t="s">
        <v>843</v>
      </c>
      <c r="F693" s="19" t="s">
        <v>867</v>
      </c>
      <c r="G693" s="19" t="s">
        <v>891</v>
      </c>
      <c r="H693" s="19" t="s">
        <v>981</v>
      </c>
      <c r="I693" s="19" t="s">
        <v>1000</v>
      </c>
      <c r="J693" s="19" t="s">
        <v>1006</v>
      </c>
      <c r="K693" s="24">
        <v>46208</v>
      </c>
      <c r="L693" s="26">
        <v>46208.125</v>
      </c>
      <c r="M693" s="26">
        <v>46208.39583333334</v>
      </c>
      <c r="N693" s="21">
        <v>6.5</v>
      </c>
      <c r="O693" s="23">
        <v>3100</v>
      </c>
      <c r="P693" s="19" t="s">
        <v>1015</v>
      </c>
      <c r="Q693" s="20">
        <v>0</v>
      </c>
      <c r="R693" s="19" t="s">
        <v>1024</v>
      </c>
      <c r="S693" s="19"/>
    </row>
    <row r="694" spans="1:19">
      <c r="A694" s="19" t="s">
        <v>693</v>
      </c>
      <c r="B694" s="19" t="s">
        <v>826</v>
      </c>
      <c r="C694" s="19" t="s">
        <v>831</v>
      </c>
      <c r="D694" s="20">
        <v>1</v>
      </c>
      <c r="E694" s="19" t="s">
        <v>843</v>
      </c>
      <c r="F694" s="19" t="s">
        <v>867</v>
      </c>
      <c r="G694" s="19" t="s">
        <v>891</v>
      </c>
      <c r="H694" s="19" t="s">
        <v>986</v>
      </c>
      <c r="I694" s="19" t="s">
        <v>991</v>
      </c>
      <c r="J694" s="19" t="s">
        <v>1005</v>
      </c>
      <c r="K694" s="24">
        <v>46210</v>
      </c>
      <c r="L694" s="26">
        <v>46210.00694444445</v>
      </c>
      <c r="M694" s="26">
        <v>46210.05694444444</v>
      </c>
      <c r="N694" s="21">
        <v>1.2</v>
      </c>
      <c r="O694" s="23">
        <v>1590.42</v>
      </c>
      <c r="P694" s="19" t="s">
        <v>1014</v>
      </c>
      <c r="Q694" s="20">
        <v>0</v>
      </c>
      <c r="R694" s="19" t="s">
        <v>1024</v>
      </c>
      <c r="S694" s="19" t="s">
        <v>1033</v>
      </c>
    </row>
    <row r="695" spans="1:19">
      <c r="A695" s="19" t="s">
        <v>694</v>
      </c>
      <c r="B695" s="19" t="s">
        <v>823</v>
      </c>
      <c r="C695" s="19" t="s">
        <v>828</v>
      </c>
      <c r="D695" s="20">
        <v>0</v>
      </c>
      <c r="E695" s="19" t="s">
        <v>838</v>
      </c>
      <c r="F695" s="19" t="s">
        <v>862</v>
      </c>
      <c r="G695" s="19" t="s">
        <v>886</v>
      </c>
      <c r="H695" s="19" t="s">
        <v>906</v>
      </c>
      <c r="I695" s="19" t="s">
        <v>989</v>
      </c>
      <c r="J695" s="19" t="s">
        <v>1004</v>
      </c>
      <c r="K695" s="24">
        <v>46211</v>
      </c>
      <c r="L695" s="19"/>
      <c r="M695" s="19"/>
      <c r="N695" s="21">
        <v>0</v>
      </c>
      <c r="O695" s="23">
        <v>268.49</v>
      </c>
      <c r="P695" s="19" t="s">
        <v>1014</v>
      </c>
      <c r="Q695" s="20">
        <v>0</v>
      </c>
      <c r="R695" s="19" t="s">
        <v>1022</v>
      </c>
      <c r="S695" s="19"/>
    </row>
    <row r="696" spans="1:19">
      <c r="A696" s="19" t="s">
        <v>695</v>
      </c>
      <c r="B696" s="19" t="s">
        <v>823</v>
      </c>
      <c r="C696" s="19" t="s">
        <v>828</v>
      </c>
      <c r="D696" s="20">
        <v>0</v>
      </c>
      <c r="E696" s="19" t="s">
        <v>839</v>
      </c>
      <c r="F696" s="19" t="s">
        <v>863</v>
      </c>
      <c r="G696" s="19" t="s">
        <v>887</v>
      </c>
      <c r="H696" s="19" t="s">
        <v>924</v>
      </c>
      <c r="I696" s="19" t="s">
        <v>989</v>
      </c>
      <c r="J696" s="19" t="s">
        <v>1004</v>
      </c>
      <c r="K696" s="24">
        <v>46211</v>
      </c>
      <c r="L696" s="19"/>
      <c r="M696" s="19"/>
      <c r="N696" s="21">
        <v>0</v>
      </c>
      <c r="O696" s="23">
        <v>684.03</v>
      </c>
      <c r="P696" s="19" t="s">
        <v>1016</v>
      </c>
      <c r="Q696" s="20">
        <v>1</v>
      </c>
      <c r="R696" s="19" t="s">
        <v>1023</v>
      </c>
      <c r="S696" s="19"/>
    </row>
    <row r="697" spans="1:19">
      <c r="A697" s="19" t="s">
        <v>696</v>
      </c>
      <c r="B697" s="19" t="s">
        <v>823</v>
      </c>
      <c r="C697" s="19" t="s">
        <v>828</v>
      </c>
      <c r="D697" s="20">
        <v>0</v>
      </c>
      <c r="E697" s="19" t="s">
        <v>840</v>
      </c>
      <c r="F697" s="19" t="s">
        <v>864</v>
      </c>
      <c r="G697" s="19" t="s">
        <v>888</v>
      </c>
      <c r="H697" s="19" t="s">
        <v>906</v>
      </c>
      <c r="I697" s="19" t="s">
        <v>989</v>
      </c>
      <c r="J697" s="19" t="s">
        <v>1004</v>
      </c>
      <c r="K697" s="24">
        <v>46211</v>
      </c>
      <c r="L697" s="19"/>
      <c r="M697" s="19"/>
      <c r="N697" s="21">
        <v>0</v>
      </c>
      <c r="O697" s="23">
        <v>1279.11</v>
      </c>
      <c r="P697" s="19" t="s">
        <v>1014</v>
      </c>
      <c r="Q697" s="20">
        <v>0</v>
      </c>
      <c r="R697" s="19" t="s">
        <v>1022</v>
      </c>
      <c r="S697" s="19"/>
    </row>
    <row r="698" spans="1:19">
      <c r="A698" s="19" t="s">
        <v>697</v>
      </c>
      <c r="B698" s="19" t="s">
        <v>824</v>
      </c>
      <c r="C698" s="19" t="s">
        <v>829</v>
      </c>
      <c r="D698" s="20">
        <v>0</v>
      </c>
      <c r="E698" s="19" t="s">
        <v>834</v>
      </c>
      <c r="F698" s="19" t="s">
        <v>858</v>
      </c>
      <c r="G698" s="19" t="s">
        <v>882</v>
      </c>
      <c r="H698" s="19" t="s">
        <v>910</v>
      </c>
      <c r="I698" s="19" t="s">
        <v>989</v>
      </c>
      <c r="J698" s="19" t="s">
        <v>1004</v>
      </c>
      <c r="K698" s="24">
        <v>46211</v>
      </c>
      <c r="L698" s="19"/>
      <c r="M698" s="19"/>
      <c r="N698" s="21">
        <v>0</v>
      </c>
      <c r="O698" s="23">
        <v>120</v>
      </c>
      <c r="P698" s="19" t="s">
        <v>1014</v>
      </c>
      <c r="Q698" s="20">
        <v>0</v>
      </c>
      <c r="R698" s="19" t="s">
        <v>1022</v>
      </c>
      <c r="S698" s="19"/>
    </row>
    <row r="699" spans="1:19">
      <c r="A699" s="19" t="s">
        <v>698</v>
      </c>
      <c r="B699" s="19" t="s">
        <v>824</v>
      </c>
      <c r="C699" s="19" t="s">
        <v>829</v>
      </c>
      <c r="D699" s="20">
        <v>0</v>
      </c>
      <c r="E699" s="19" t="s">
        <v>852</v>
      </c>
      <c r="F699" s="19" t="s">
        <v>876</v>
      </c>
      <c r="G699" s="19" t="s">
        <v>900</v>
      </c>
      <c r="H699" s="19" t="s">
        <v>925</v>
      </c>
      <c r="I699" s="19" t="s">
        <v>989</v>
      </c>
      <c r="J699" s="19" t="s">
        <v>1004</v>
      </c>
      <c r="K699" s="24">
        <v>46212</v>
      </c>
      <c r="L699" s="19"/>
      <c r="M699" s="19"/>
      <c r="N699" s="21">
        <v>0</v>
      </c>
      <c r="O699" s="23">
        <v>280</v>
      </c>
      <c r="P699" s="19" t="s">
        <v>1015</v>
      </c>
      <c r="Q699" s="20">
        <v>0</v>
      </c>
      <c r="R699" s="19" t="s">
        <v>1023</v>
      </c>
      <c r="S699" s="19"/>
    </row>
    <row r="700" spans="1:19">
      <c r="A700" s="19" t="s">
        <v>699</v>
      </c>
      <c r="B700" s="19" t="s">
        <v>825</v>
      </c>
      <c r="C700" s="19" t="s">
        <v>830</v>
      </c>
      <c r="D700" s="20">
        <v>1</v>
      </c>
      <c r="E700" s="19" t="s">
        <v>837</v>
      </c>
      <c r="F700" s="19" t="s">
        <v>861</v>
      </c>
      <c r="G700" s="19" t="s">
        <v>885</v>
      </c>
      <c r="H700" s="19" t="s">
        <v>919</v>
      </c>
      <c r="I700" s="19" t="s">
        <v>993</v>
      </c>
      <c r="J700" s="19" t="s">
        <v>1006</v>
      </c>
      <c r="K700" s="24">
        <v>46212</v>
      </c>
      <c r="L700" s="26">
        <v>46212.56805555556</v>
      </c>
      <c r="M700" s="26">
        <v>46213.21805555555</v>
      </c>
      <c r="N700" s="21">
        <v>15.6</v>
      </c>
      <c r="O700" s="23">
        <v>4061.09</v>
      </c>
      <c r="P700" s="19" t="s">
        <v>1015</v>
      </c>
      <c r="Q700" s="20">
        <v>0</v>
      </c>
      <c r="R700" s="19" t="s">
        <v>1023</v>
      </c>
      <c r="S700" s="19"/>
    </row>
    <row r="701" spans="1:19">
      <c r="A701" s="19" t="s">
        <v>700</v>
      </c>
      <c r="B701" s="19" t="s">
        <v>825</v>
      </c>
      <c r="C701" s="19" t="s">
        <v>830</v>
      </c>
      <c r="D701" s="20">
        <v>1</v>
      </c>
      <c r="E701" s="19" t="s">
        <v>848</v>
      </c>
      <c r="F701" s="19" t="s">
        <v>872</v>
      </c>
      <c r="G701" s="19" t="s">
        <v>896</v>
      </c>
      <c r="H701" s="19" t="s">
        <v>927</v>
      </c>
      <c r="I701" s="19" t="s">
        <v>998</v>
      </c>
      <c r="J701" s="19" t="s">
        <v>1006</v>
      </c>
      <c r="K701" s="24">
        <v>46213</v>
      </c>
      <c r="L701" s="26">
        <v>46213.12083333333</v>
      </c>
      <c r="M701" s="26">
        <v>46213.64583333334</v>
      </c>
      <c r="N701" s="21">
        <v>12.6</v>
      </c>
      <c r="O701" s="23">
        <v>8436.719999999999</v>
      </c>
      <c r="P701" s="19" t="s">
        <v>1015</v>
      </c>
      <c r="Q701" s="20">
        <v>0</v>
      </c>
      <c r="R701" s="19" t="s">
        <v>1023</v>
      </c>
      <c r="S701" s="19"/>
    </row>
    <row r="702" spans="1:19">
      <c r="A702" s="19" t="s">
        <v>701</v>
      </c>
      <c r="B702" s="19" t="s">
        <v>823</v>
      </c>
      <c r="C702" s="19" t="s">
        <v>828</v>
      </c>
      <c r="D702" s="20">
        <v>0</v>
      </c>
      <c r="E702" s="19" t="s">
        <v>842</v>
      </c>
      <c r="F702" s="19" t="s">
        <v>866</v>
      </c>
      <c r="G702" s="19" t="s">
        <v>890</v>
      </c>
      <c r="H702" s="19" t="s">
        <v>912</v>
      </c>
      <c r="I702" s="19" t="s">
        <v>989</v>
      </c>
      <c r="J702" s="19" t="s">
        <v>1004</v>
      </c>
      <c r="K702" s="24">
        <v>46213</v>
      </c>
      <c r="L702" s="19"/>
      <c r="M702" s="19"/>
      <c r="N702" s="21">
        <v>0</v>
      </c>
      <c r="O702" s="23">
        <v>595.86</v>
      </c>
      <c r="P702" s="19" t="s">
        <v>1015</v>
      </c>
      <c r="Q702" s="20">
        <v>0</v>
      </c>
      <c r="R702" s="19" t="s">
        <v>1021</v>
      </c>
      <c r="S702" s="19"/>
    </row>
    <row r="703" spans="1:19">
      <c r="A703" s="19" t="s">
        <v>702</v>
      </c>
      <c r="B703" s="19" t="s">
        <v>825</v>
      </c>
      <c r="C703" s="19" t="s">
        <v>830</v>
      </c>
      <c r="D703" s="20">
        <v>1</v>
      </c>
      <c r="E703" s="19" t="s">
        <v>843</v>
      </c>
      <c r="F703" s="19" t="s">
        <v>867</v>
      </c>
      <c r="G703" s="19" t="s">
        <v>891</v>
      </c>
      <c r="H703" s="19" t="s">
        <v>938</v>
      </c>
      <c r="I703" s="19" t="s">
        <v>1000</v>
      </c>
      <c r="J703" s="19" t="s">
        <v>1006</v>
      </c>
      <c r="K703" s="24">
        <v>46214</v>
      </c>
      <c r="L703" s="26">
        <v>46214.00625</v>
      </c>
      <c r="M703" s="26">
        <v>46214.16875</v>
      </c>
      <c r="N703" s="21">
        <v>0</v>
      </c>
      <c r="O703" s="23">
        <v>4260.41</v>
      </c>
      <c r="P703" s="19" t="s">
        <v>1015</v>
      </c>
      <c r="Q703" s="20">
        <v>0</v>
      </c>
      <c r="R703" s="19" t="s">
        <v>1023</v>
      </c>
      <c r="S703" s="19"/>
    </row>
    <row r="704" spans="1:19">
      <c r="A704" s="19" t="s">
        <v>703</v>
      </c>
      <c r="B704" s="19" t="s">
        <v>825</v>
      </c>
      <c r="C704" s="19" t="s">
        <v>830</v>
      </c>
      <c r="D704" s="20">
        <v>1</v>
      </c>
      <c r="E704" s="19" t="s">
        <v>837</v>
      </c>
      <c r="F704" s="19" t="s">
        <v>861</v>
      </c>
      <c r="G704" s="19" t="s">
        <v>885</v>
      </c>
      <c r="H704" s="19" t="s">
        <v>949</v>
      </c>
      <c r="I704" s="19" t="s">
        <v>998</v>
      </c>
      <c r="J704" s="19" t="s">
        <v>1006</v>
      </c>
      <c r="K704" s="24">
        <v>46214</v>
      </c>
      <c r="L704" s="26">
        <v>46214.00833333333</v>
      </c>
      <c r="M704" s="26">
        <v>46214.51666666667</v>
      </c>
      <c r="N704" s="21">
        <v>12.2</v>
      </c>
      <c r="O704" s="23">
        <v>3485.13</v>
      </c>
      <c r="P704" s="19" t="s">
        <v>1015</v>
      </c>
      <c r="Q704" s="20">
        <v>0</v>
      </c>
      <c r="R704" s="19" t="s">
        <v>1022</v>
      </c>
      <c r="S704" s="19"/>
    </row>
    <row r="705" spans="1:19">
      <c r="A705" s="19" t="s">
        <v>704</v>
      </c>
      <c r="B705" s="19" t="s">
        <v>823</v>
      </c>
      <c r="C705" s="19" t="s">
        <v>828</v>
      </c>
      <c r="D705" s="20">
        <v>0</v>
      </c>
      <c r="E705" s="19" t="s">
        <v>848</v>
      </c>
      <c r="F705" s="19" t="s">
        <v>872</v>
      </c>
      <c r="G705" s="19" t="s">
        <v>896</v>
      </c>
      <c r="H705" s="19" t="s">
        <v>906</v>
      </c>
      <c r="I705" s="19" t="s">
        <v>989</v>
      </c>
      <c r="J705" s="19" t="s">
        <v>1004</v>
      </c>
      <c r="K705" s="24">
        <v>46214</v>
      </c>
      <c r="L705" s="19"/>
      <c r="M705" s="19"/>
      <c r="N705" s="21">
        <v>0</v>
      </c>
      <c r="O705" s="23">
        <v>1299.58</v>
      </c>
      <c r="P705" s="19" t="s">
        <v>1014</v>
      </c>
      <c r="Q705" s="20">
        <v>0</v>
      </c>
      <c r="R705" s="19" t="s">
        <v>1023</v>
      </c>
      <c r="S705" s="19"/>
    </row>
    <row r="706" spans="1:19">
      <c r="A706" s="19" t="s">
        <v>705</v>
      </c>
      <c r="B706" s="19" t="s">
        <v>823</v>
      </c>
      <c r="C706" s="19" t="s">
        <v>828</v>
      </c>
      <c r="D706" s="20">
        <v>0</v>
      </c>
      <c r="E706" s="19" t="s">
        <v>844</v>
      </c>
      <c r="F706" s="19" t="s">
        <v>868</v>
      </c>
      <c r="G706" s="19" t="s">
        <v>892</v>
      </c>
      <c r="H706" s="19" t="s">
        <v>912</v>
      </c>
      <c r="I706" s="19" t="s">
        <v>989</v>
      </c>
      <c r="J706" s="19" t="s">
        <v>1004</v>
      </c>
      <c r="K706" s="24">
        <v>46214</v>
      </c>
      <c r="L706" s="19"/>
      <c r="M706" s="19"/>
      <c r="N706" s="21">
        <v>0</v>
      </c>
      <c r="O706" s="23">
        <v>366.8</v>
      </c>
      <c r="P706" s="19" t="s">
        <v>1014</v>
      </c>
      <c r="Q706" s="20">
        <v>0</v>
      </c>
      <c r="R706" s="19" t="s">
        <v>1022</v>
      </c>
      <c r="S706" s="19"/>
    </row>
    <row r="707" spans="1:19">
      <c r="A707" s="19" t="s">
        <v>706</v>
      </c>
      <c r="B707" s="19" t="s">
        <v>824</v>
      </c>
      <c r="C707" s="19" t="s">
        <v>829</v>
      </c>
      <c r="D707" s="20">
        <v>0</v>
      </c>
      <c r="E707" s="19" t="s">
        <v>850</v>
      </c>
      <c r="F707" s="19" t="s">
        <v>874</v>
      </c>
      <c r="G707" s="19" t="s">
        <v>898</v>
      </c>
      <c r="H707" s="19" t="s">
        <v>925</v>
      </c>
      <c r="I707" s="19" t="s">
        <v>989</v>
      </c>
      <c r="J707" s="19" t="s">
        <v>1004</v>
      </c>
      <c r="K707" s="24">
        <v>46214</v>
      </c>
      <c r="L707" s="19"/>
      <c r="M707" s="19"/>
      <c r="N707" s="21">
        <v>0</v>
      </c>
      <c r="O707" s="23">
        <v>100</v>
      </c>
      <c r="P707" s="19" t="s">
        <v>1015</v>
      </c>
      <c r="Q707" s="20">
        <v>0</v>
      </c>
      <c r="R707" s="19" t="s">
        <v>1022</v>
      </c>
      <c r="S707" s="19"/>
    </row>
    <row r="708" spans="1:19">
      <c r="A708" s="19" t="s">
        <v>707</v>
      </c>
      <c r="B708" s="19" t="s">
        <v>823</v>
      </c>
      <c r="C708" s="19" t="s">
        <v>828</v>
      </c>
      <c r="D708" s="20">
        <v>0</v>
      </c>
      <c r="E708" s="19" t="s">
        <v>843</v>
      </c>
      <c r="F708" s="19" t="s">
        <v>867</v>
      </c>
      <c r="G708" s="19" t="s">
        <v>891</v>
      </c>
      <c r="H708" s="19" t="s">
        <v>924</v>
      </c>
      <c r="I708" s="19" t="s">
        <v>989</v>
      </c>
      <c r="J708" s="19" t="s">
        <v>1004</v>
      </c>
      <c r="K708" s="24">
        <v>46215</v>
      </c>
      <c r="L708" s="19"/>
      <c r="M708" s="19"/>
      <c r="N708" s="21">
        <v>0</v>
      </c>
      <c r="O708" s="23">
        <v>257.84</v>
      </c>
      <c r="P708" s="19" t="s">
        <v>1014</v>
      </c>
      <c r="Q708" s="20">
        <v>0</v>
      </c>
      <c r="R708" s="19" t="s">
        <v>1023</v>
      </c>
      <c r="S708" s="19"/>
    </row>
    <row r="709" spans="1:19">
      <c r="A709" s="19" t="s">
        <v>708</v>
      </c>
      <c r="B709" s="19" t="s">
        <v>823</v>
      </c>
      <c r="C709" s="19" t="s">
        <v>828</v>
      </c>
      <c r="D709" s="20">
        <v>0</v>
      </c>
      <c r="E709" s="19" t="s">
        <v>851</v>
      </c>
      <c r="F709" s="19" t="s">
        <v>875</v>
      </c>
      <c r="G709" s="19" t="s">
        <v>899</v>
      </c>
      <c r="H709" s="19" t="s">
        <v>924</v>
      </c>
      <c r="I709" s="19" t="s">
        <v>989</v>
      </c>
      <c r="J709" s="19" t="s">
        <v>1004</v>
      </c>
      <c r="K709" s="24">
        <v>46216</v>
      </c>
      <c r="L709" s="19"/>
      <c r="M709" s="19"/>
      <c r="N709" s="21">
        <v>0</v>
      </c>
      <c r="O709" s="23">
        <v>437.09</v>
      </c>
      <c r="P709" s="19" t="s">
        <v>1014</v>
      </c>
      <c r="Q709" s="20">
        <v>0</v>
      </c>
      <c r="R709" s="19" t="s">
        <v>1021</v>
      </c>
      <c r="S709" s="19"/>
    </row>
    <row r="710" spans="1:19">
      <c r="A710" s="19" t="s">
        <v>709</v>
      </c>
      <c r="B710" s="19" t="s">
        <v>824</v>
      </c>
      <c r="C710" s="19" t="s">
        <v>829</v>
      </c>
      <c r="D710" s="20">
        <v>0</v>
      </c>
      <c r="E710" s="19" t="s">
        <v>854</v>
      </c>
      <c r="F710" s="19" t="s">
        <v>878</v>
      </c>
      <c r="G710" s="19" t="s">
        <v>902</v>
      </c>
      <c r="H710" s="19" t="s">
        <v>925</v>
      </c>
      <c r="I710" s="19" t="s">
        <v>989</v>
      </c>
      <c r="J710" s="19" t="s">
        <v>1004</v>
      </c>
      <c r="K710" s="24">
        <v>46216</v>
      </c>
      <c r="L710" s="19"/>
      <c r="M710" s="19"/>
      <c r="N710" s="21">
        <v>0</v>
      </c>
      <c r="O710" s="23">
        <v>120</v>
      </c>
      <c r="P710" s="19" t="s">
        <v>1015</v>
      </c>
      <c r="Q710" s="20">
        <v>0</v>
      </c>
      <c r="R710" s="19" t="s">
        <v>1023</v>
      </c>
      <c r="S710" s="19"/>
    </row>
    <row r="711" spans="1:19">
      <c r="A711" s="19" t="s">
        <v>710</v>
      </c>
      <c r="B711" s="19" t="s">
        <v>824</v>
      </c>
      <c r="C711" s="19" t="s">
        <v>829</v>
      </c>
      <c r="D711" s="20">
        <v>0</v>
      </c>
      <c r="E711" s="19" t="s">
        <v>844</v>
      </c>
      <c r="F711" s="19" t="s">
        <v>868</v>
      </c>
      <c r="G711" s="19" t="s">
        <v>892</v>
      </c>
      <c r="H711" s="19" t="s">
        <v>914</v>
      </c>
      <c r="I711" s="19" t="s">
        <v>989</v>
      </c>
      <c r="J711" s="19" t="s">
        <v>1004</v>
      </c>
      <c r="K711" s="24">
        <v>46217</v>
      </c>
      <c r="L711" s="19"/>
      <c r="M711" s="19"/>
      <c r="N711" s="21">
        <v>0</v>
      </c>
      <c r="O711" s="23">
        <v>140</v>
      </c>
      <c r="P711" s="19" t="s">
        <v>1015</v>
      </c>
      <c r="Q711" s="20">
        <v>0</v>
      </c>
      <c r="R711" s="19" t="s">
        <v>1023</v>
      </c>
      <c r="S711" s="19"/>
    </row>
    <row r="712" spans="1:19">
      <c r="A712" s="19" t="s">
        <v>711</v>
      </c>
      <c r="B712" s="19" t="s">
        <v>824</v>
      </c>
      <c r="C712" s="19" t="s">
        <v>829</v>
      </c>
      <c r="D712" s="20">
        <v>0</v>
      </c>
      <c r="E712" s="19" t="s">
        <v>849</v>
      </c>
      <c r="F712" s="19" t="s">
        <v>873</v>
      </c>
      <c r="G712" s="19" t="s">
        <v>897</v>
      </c>
      <c r="H712" s="19" t="s">
        <v>914</v>
      </c>
      <c r="I712" s="19" t="s">
        <v>989</v>
      </c>
      <c r="J712" s="19" t="s">
        <v>1004</v>
      </c>
      <c r="K712" s="24">
        <v>46217</v>
      </c>
      <c r="L712" s="19"/>
      <c r="M712" s="19"/>
      <c r="N712" s="21">
        <v>0</v>
      </c>
      <c r="O712" s="23">
        <v>320</v>
      </c>
      <c r="P712" s="19" t="s">
        <v>1014</v>
      </c>
      <c r="Q712" s="20">
        <v>0</v>
      </c>
      <c r="R712" s="19" t="s">
        <v>1021</v>
      </c>
      <c r="S712" s="19"/>
    </row>
    <row r="713" spans="1:19">
      <c r="A713" s="19" t="s">
        <v>712</v>
      </c>
      <c r="B713" s="19" t="s">
        <v>823</v>
      </c>
      <c r="C713" s="19" t="s">
        <v>828</v>
      </c>
      <c r="D713" s="20">
        <v>0</v>
      </c>
      <c r="E713" s="19" t="s">
        <v>850</v>
      </c>
      <c r="F713" s="19" t="s">
        <v>874</v>
      </c>
      <c r="G713" s="19" t="s">
        <v>898</v>
      </c>
      <c r="H713" s="19" t="s">
        <v>912</v>
      </c>
      <c r="I713" s="19" t="s">
        <v>989</v>
      </c>
      <c r="J713" s="19" t="s">
        <v>1004</v>
      </c>
      <c r="K713" s="24">
        <v>46218</v>
      </c>
      <c r="L713" s="19"/>
      <c r="M713" s="19"/>
      <c r="N713" s="21">
        <v>0</v>
      </c>
      <c r="O713" s="23">
        <v>374.99</v>
      </c>
      <c r="P713" s="19" t="s">
        <v>1015</v>
      </c>
      <c r="Q713" s="20">
        <v>0</v>
      </c>
      <c r="R713" s="19" t="s">
        <v>1023</v>
      </c>
      <c r="S713" s="19"/>
    </row>
    <row r="714" spans="1:19">
      <c r="A714" s="19" t="s">
        <v>713</v>
      </c>
      <c r="B714" s="19" t="s">
        <v>823</v>
      </c>
      <c r="C714" s="19" t="s">
        <v>828</v>
      </c>
      <c r="D714" s="20">
        <v>0</v>
      </c>
      <c r="E714" s="19" t="s">
        <v>845</v>
      </c>
      <c r="F714" s="19" t="s">
        <v>869</v>
      </c>
      <c r="G714" s="19" t="s">
        <v>893</v>
      </c>
      <c r="H714" s="19" t="s">
        <v>912</v>
      </c>
      <c r="I714" s="19" t="s">
        <v>989</v>
      </c>
      <c r="J714" s="19" t="s">
        <v>1004</v>
      </c>
      <c r="K714" s="24">
        <v>46219</v>
      </c>
      <c r="L714" s="19"/>
      <c r="M714" s="19"/>
      <c r="N714" s="21">
        <v>0</v>
      </c>
      <c r="O714" s="23">
        <v>876.9</v>
      </c>
      <c r="P714" s="19" t="s">
        <v>1015</v>
      </c>
      <c r="Q714" s="20">
        <v>0</v>
      </c>
      <c r="R714" s="19" t="s">
        <v>1021</v>
      </c>
      <c r="S714" s="19"/>
    </row>
    <row r="715" spans="1:19">
      <c r="A715" s="19" t="s">
        <v>714</v>
      </c>
      <c r="B715" s="19" t="s">
        <v>825</v>
      </c>
      <c r="C715" s="19" t="s">
        <v>830</v>
      </c>
      <c r="D715" s="20">
        <v>1</v>
      </c>
      <c r="E715" s="19" t="s">
        <v>840</v>
      </c>
      <c r="F715" s="19" t="s">
        <v>864</v>
      </c>
      <c r="G715" s="19" t="s">
        <v>888</v>
      </c>
      <c r="H715" s="19" t="s">
        <v>921</v>
      </c>
      <c r="I715" s="19" t="s">
        <v>995</v>
      </c>
      <c r="J715" s="19" t="s">
        <v>1007</v>
      </c>
      <c r="K715" s="24">
        <v>46221</v>
      </c>
      <c r="L715" s="26">
        <v>46221.07152777778</v>
      </c>
      <c r="M715" s="26">
        <v>46221.21736111111</v>
      </c>
      <c r="N715" s="21">
        <v>3.5</v>
      </c>
      <c r="O715" s="23">
        <v>4306.37</v>
      </c>
      <c r="P715" s="19" t="s">
        <v>1016</v>
      </c>
      <c r="Q715" s="20">
        <v>1</v>
      </c>
      <c r="R715" s="19" t="s">
        <v>1022</v>
      </c>
      <c r="S715" s="19"/>
    </row>
    <row r="716" spans="1:19">
      <c r="A716" s="19" t="s">
        <v>715</v>
      </c>
      <c r="B716" s="19" t="s">
        <v>823</v>
      </c>
      <c r="C716" s="19" t="s">
        <v>828</v>
      </c>
      <c r="D716" s="20">
        <v>0</v>
      </c>
      <c r="E716" s="19" t="s">
        <v>849</v>
      </c>
      <c r="F716" s="19" t="s">
        <v>873</v>
      </c>
      <c r="G716" s="19" t="s">
        <v>897</v>
      </c>
      <c r="H716" s="19" t="s">
        <v>917</v>
      </c>
      <c r="I716" s="19" t="s">
        <v>989</v>
      </c>
      <c r="J716" s="19" t="s">
        <v>1004</v>
      </c>
      <c r="K716" s="24">
        <v>46221</v>
      </c>
      <c r="L716" s="19"/>
      <c r="M716" s="19"/>
      <c r="N716" s="21">
        <v>0</v>
      </c>
      <c r="O716" s="23">
        <v>1107.35</v>
      </c>
      <c r="P716" s="19" t="s">
        <v>1014</v>
      </c>
      <c r="Q716" s="20">
        <v>0</v>
      </c>
      <c r="R716" s="19" t="s">
        <v>1021</v>
      </c>
      <c r="S716" s="19"/>
    </row>
    <row r="717" spans="1:19">
      <c r="A717" s="19" t="s">
        <v>716</v>
      </c>
      <c r="B717" s="19" t="s">
        <v>826</v>
      </c>
      <c r="C717" s="19" t="s">
        <v>831</v>
      </c>
      <c r="D717" s="20">
        <v>1</v>
      </c>
      <c r="E717" s="19" t="s">
        <v>838</v>
      </c>
      <c r="F717" s="19" t="s">
        <v>862</v>
      </c>
      <c r="G717" s="19" t="s">
        <v>886</v>
      </c>
      <c r="H717" s="19" t="s">
        <v>923</v>
      </c>
      <c r="I717" s="19" t="s">
        <v>990</v>
      </c>
      <c r="J717" s="19" t="s">
        <v>1005</v>
      </c>
      <c r="K717" s="24">
        <v>46221</v>
      </c>
      <c r="L717" s="26">
        <v>46221.89166666667</v>
      </c>
      <c r="M717" s="26">
        <v>46222.00416666667</v>
      </c>
      <c r="N717" s="21">
        <v>2.7</v>
      </c>
      <c r="O717" s="23">
        <v>2036.09</v>
      </c>
      <c r="P717" s="19" t="s">
        <v>1014</v>
      </c>
      <c r="Q717" s="20">
        <v>0</v>
      </c>
      <c r="R717" s="19" t="s">
        <v>1024</v>
      </c>
      <c r="S717" s="19" t="s">
        <v>1026</v>
      </c>
    </row>
    <row r="718" spans="1:19">
      <c r="A718" s="19" t="s">
        <v>717</v>
      </c>
      <c r="B718" s="19" t="s">
        <v>823</v>
      </c>
      <c r="C718" s="19" t="s">
        <v>828</v>
      </c>
      <c r="D718" s="20">
        <v>0</v>
      </c>
      <c r="E718" s="19" t="s">
        <v>836</v>
      </c>
      <c r="F718" s="19" t="s">
        <v>860</v>
      </c>
      <c r="G718" s="19" t="s">
        <v>884</v>
      </c>
      <c r="H718" s="19" t="s">
        <v>907</v>
      </c>
      <c r="I718" s="19" t="s">
        <v>989</v>
      </c>
      <c r="J718" s="19" t="s">
        <v>1004</v>
      </c>
      <c r="K718" s="24">
        <v>46222</v>
      </c>
      <c r="L718" s="19"/>
      <c r="M718" s="19"/>
      <c r="N718" s="21">
        <v>0</v>
      </c>
      <c r="O718" s="23">
        <v>299.89</v>
      </c>
      <c r="P718" s="19" t="s">
        <v>1014</v>
      </c>
      <c r="Q718" s="20">
        <v>0</v>
      </c>
      <c r="R718" s="19" t="s">
        <v>1023</v>
      </c>
      <c r="S718" s="19"/>
    </row>
    <row r="719" spans="1:19">
      <c r="A719" s="19" t="s">
        <v>718</v>
      </c>
      <c r="B719" s="19" t="s">
        <v>823</v>
      </c>
      <c r="C719" s="19" t="s">
        <v>828</v>
      </c>
      <c r="D719" s="20">
        <v>0</v>
      </c>
      <c r="E719" s="19" t="s">
        <v>841</v>
      </c>
      <c r="F719" s="19" t="s">
        <v>865</v>
      </c>
      <c r="G719" s="19" t="s">
        <v>889</v>
      </c>
      <c r="H719" s="19" t="s">
        <v>906</v>
      </c>
      <c r="I719" s="19" t="s">
        <v>989</v>
      </c>
      <c r="J719" s="19" t="s">
        <v>1004</v>
      </c>
      <c r="K719" s="24">
        <v>46223</v>
      </c>
      <c r="L719" s="19"/>
      <c r="M719" s="19"/>
      <c r="N719" s="21">
        <v>0</v>
      </c>
      <c r="O719" s="23">
        <v>976</v>
      </c>
      <c r="P719" s="19" t="s">
        <v>1016</v>
      </c>
      <c r="Q719" s="20">
        <v>1</v>
      </c>
      <c r="R719" s="19" t="s">
        <v>1022</v>
      </c>
      <c r="S719" s="19"/>
    </row>
    <row r="720" spans="1:19">
      <c r="A720" s="19" t="s">
        <v>719</v>
      </c>
      <c r="B720" s="19" t="s">
        <v>823</v>
      </c>
      <c r="C720" s="19" t="s">
        <v>828</v>
      </c>
      <c r="D720" s="20">
        <v>0</v>
      </c>
      <c r="E720" s="19" t="s">
        <v>852</v>
      </c>
      <c r="F720" s="19" t="s">
        <v>876</v>
      </c>
      <c r="G720" s="19" t="s">
        <v>900</v>
      </c>
      <c r="H720" s="19" t="s">
        <v>906</v>
      </c>
      <c r="I720" s="19" t="s">
        <v>989</v>
      </c>
      <c r="J720" s="19" t="s">
        <v>1004</v>
      </c>
      <c r="K720" s="24">
        <v>46223</v>
      </c>
      <c r="L720" s="19"/>
      <c r="M720" s="19"/>
      <c r="N720" s="21">
        <v>0</v>
      </c>
      <c r="O720" s="23">
        <v>747.79</v>
      </c>
      <c r="P720" s="19" t="s">
        <v>1015</v>
      </c>
      <c r="Q720" s="20">
        <v>0</v>
      </c>
      <c r="R720" s="19" t="s">
        <v>1021</v>
      </c>
      <c r="S720" s="19"/>
    </row>
    <row r="721" spans="1:19">
      <c r="A721" s="19" t="s">
        <v>720</v>
      </c>
      <c r="B721" s="19" t="s">
        <v>824</v>
      </c>
      <c r="C721" s="19" t="s">
        <v>829</v>
      </c>
      <c r="D721" s="20">
        <v>0</v>
      </c>
      <c r="E721" s="19" t="s">
        <v>848</v>
      </c>
      <c r="F721" s="19" t="s">
        <v>872</v>
      </c>
      <c r="G721" s="19" t="s">
        <v>896</v>
      </c>
      <c r="H721" s="19" t="s">
        <v>908</v>
      </c>
      <c r="I721" s="19" t="s">
        <v>989</v>
      </c>
      <c r="J721" s="19" t="s">
        <v>1004</v>
      </c>
      <c r="K721" s="24">
        <v>46223</v>
      </c>
      <c r="L721" s="19"/>
      <c r="M721" s="19"/>
      <c r="N721" s="21">
        <v>0</v>
      </c>
      <c r="O721" s="23">
        <v>600</v>
      </c>
      <c r="P721" s="19" t="s">
        <v>1016</v>
      </c>
      <c r="Q721" s="20">
        <v>1</v>
      </c>
      <c r="R721" s="19" t="s">
        <v>1023</v>
      </c>
      <c r="S721" s="19"/>
    </row>
    <row r="722" spans="1:19">
      <c r="A722" s="19" t="s">
        <v>721</v>
      </c>
      <c r="B722" s="19" t="s">
        <v>824</v>
      </c>
      <c r="C722" s="19" t="s">
        <v>829</v>
      </c>
      <c r="D722" s="20">
        <v>0</v>
      </c>
      <c r="E722" s="19" t="s">
        <v>853</v>
      </c>
      <c r="F722" s="19" t="s">
        <v>877</v>
      </c>
      <c r="G722" s="19" t="s">
        <v>901</v>
      </c>
      <c r="H722" s="19" t="s">
        <v>908</v>
      </c>
      <c r="I722" s="19" t="s">
        <v>989</v>
      </c>
      <c r="J722" s="19" t="s">
        <v>1004</v>
      </c>
      <c r="K722" s="24">
        <v>46223</v>
      </c>
      <c r="L722" s="19"/>
      <c r="M722" s="19"/>
      <c r="N722" s="21">
        <v>0</v>
      </c>
      <c r="O722" s="23">
        <v>140</v>
      </c>
      <c r="P722" s="19" t="s">
        <v>1016</v>
      </c>
      <c r="Q722" s="20">
        <v>1</v>
      </c>
      <c r="R722" s="19" t="s">
        <v>1023</v>
      </c>
      <c r="S722" s="19"/>
    </row>
    <row r="723" spans="1:19">
      <c r="A723" s="19" t="s">
        <v>722</v>
      </c>
      <c r="B723" s="19" t="s">
        <v>823</v>
      </c>
      <c r="C723" s="19" t="s">
        <v>828</v>
      </c>
      <c r="D723" s="20">
        <v>0</v>
      </c>
      <c r="E723" s="19" t="s">
        <v>834</v>
      </c>
      <c r="F723" s="19" t="s">
        <v>858</v>
      </c>
      <c r="G723" s="19" t="s">
        <v>882</v>
      </c>
      <c r="H723" s="19" t="s">
        <v>907</v>
      </c>
      <c r="I723" s="19" t="s">
        <v>989</v>
      </c>
      <c r="J723" s="19" t="s">
        <v>1004</v>
      </c>
      <c r="K723" s="24">
        <v>46224</v>
      </c>
      <c r="L723" s="19"/>
      <c r="M723" s="19"/>
      <c r="N723" s="21">
        <v>0</v>
      </c>
      <c r="O723" s="23">
        <v>267.38</v>
      </c>
      <c r="P723" s="19" t="s">
        <v>1014</v>
      </c>
      <c r="Q723" s="20">
        <v>0</v>
      </c>
      <c r="R723" s="19" t="s">
        <v>1023</v>
      </c>
      <c r="S723" s="19"/>
    </row>
    <row r="724" spans="1:19">
      <c r="A724" s="19" t="s">
        <v>723</v>
      </c>
      <c r="B724" s="19" t="s">
        <v>825</v>
      </c>
      <c r="C724" s="19" t="s">
        <v>830</v>
      </c>
      <c r="D724" s="20">
        <v>1</v>
      </c>
      <c r="E724" s="19" t="s">
        <v>844</v>
      </c>
      <c r="F724" s="19" t="s">
        <v>868</v>
      </c>
      <c r="G724" s="19" t="s">
        <v>892</v>
      </c>
      <c r="H724" s="19" t="s">
        <v>973</v>
      </c>
      <c r="I724" s="19" t="s">
        <v>991</v>
      </c>
      <c r="J724" s="19" t="s">
        <v>1006</v>
      </c>
      <c r="K724" s="24">
        <v>46224</v>
      </c>
      <c r="L724" s="26">
        <v>46224.84722222222</v>
      </c>
      <c r="M724" s="26">
        <v>46225.23888888889</v>
      </c>
      <c r="N724" s="21">
        <v>9.4</v>
      </c>
      <c r="O724" s="23">
        <v>2390.82</v>
      </c>
      <c r="P724" s="19" t="s">
        <v>1015</v>
      </c>
      <c r="Q724" s="20">
        <v>0</v>
      </c>
      <c r="R724" s="19" t="s">
        <v>1021</v>
      </c>
      <c r="S724" s="19"/>
    </row>
    <row r="725" spans="1:19">
      <c r="A725" s="19" t="s">
        <v>724</v>
      </c>
      <c r="B725" s="19" t="s">
        <v>823</v>
      </c>
      <c r="C725" s="19" t="s">
        <v>828</v>
      </c>
      <c r="D725" s="20">
        <v>0</v>
      </c>
      <c r="E725" s="19" t="s">
        <v>835</v>
      </c>
      <c r="F725" s="19" t="s">
        <v>859</v>
      </c>
      <c r="G725" s="19" t="s">
        <v>883</v>
      </c>
      <c r="H725" s="19" t="s">
        <v>924</v>
      </c>
      <c r="I725" s="19" t="s">
        <v>989</v>
      </c>
      <c r="J725" s="19" t="s">
        <v>1004</v>
      </c>
      <c r="K725" s="24">
        <v>46225</v>
      </c>
      <c r="L725" s="19"/>
      <c r="M725" s="19"/>
      <c r="N725" s="21">
        <v>0</v>
      </c>
      <c r="O725" s="23">
        <v>509.53</v>
      </c>
      <c r="P725" s="19" t="s">
        <v>1014</v>
      </c>
      <c r="Q725" s="20">
        <v>0</v>
      </c>
      <c r="R725" s="19" t="s">
        <v>1021</v>
      </c>
      <c r="S725" s="19"/>
    </row>
    <row r="726" spans="1:19">
      <c r="A726" s="19" t="s">
        <v>725</v>
      </c>
      <c r="B726" s="19" t="s">
        <v>823</v>
      </c>
      <c r="C726" s="19" t="s">
        <v>828</v>
      </c>
      <c r="D726" s="20">
        <v>0</v>
      </c>
      <c r="E726" s="19" t="s">
        <v>854</v>
      </c>
      <c r="F726" s="19" t="s">
        <v>878</v>
      </c>
      <c r="G726" s="19" t="s">
        <v>902</v>
      </c>
      <c r="H726" s="19" t="s">
        <v>909</v>
      </c>
      <c r="I726" s="19" t="s">
        <v>989</v>
      </c>
      <c r="J726" s="19" t="s">
        <v>1004</v>
      </c>
      <c r="K726" s="24">
        <v>46225</v>
      </c>
      <c r="L726" s="19"/>
      <c r="M726" s="19"/>
      <c r="N726" s="21">
        <v>0</v>
      </c>
      <c r="O726" s="23">
        <v>390.6</v>
      </c>
      <c r="P726" s="19" t="s">
        <v>1014</v>
      </c>
      <c r="Q726" s="20">
        <v>0</v>
      </c>
      <c r="R726" s="19" t="s">
        <v>1023</v>
      </c>
      <c r="S726" s="19"/>
    </row>
    <row r="727" spans="1:19">
      <c r="A727" s="19" t="s">
        <v>726</v>
      </c>
      <c r="B727" s="19" t="s">
        <v>824</v>
      </c>
      <c r="C727" s="19" t="s">
        <v>829</v>
      </c>
      <c r="D727" s="20">
        <v>0</v>
      </c>
      <c r="E727" s="19" t="s">
        <v>856</v>
      </c>
      <c r="F727" s="19" t="s">
        <v>880</v>
      </c>
      <c r="G727" s="19" t="s">
        <v>904</v>
      </c>
      <c r="H727" s="19" t="s">
        <v>908</v>
      </c>
      <c r="I727" s="19" t="s">
        <v>989</v>
      </c>
      <c r="J727" s="19" t="s">
        <v>1004</v>
      </c>
      <c r="K727" s="24">
        <v>46225</v>
      </c>
      <c r="L727" s="19"/>
      <c r="M727" s="19"/>
      <c r="N727" s="21">
        <v>0</v>
      </c>
      <c r="O727" s="23">
        <v>48</v>
      </c>
      <c r="P727" s="19" t="s">
        <v>1016</v>
      </c>
      <c r="Q727" s="20">
        <v>1</v>
      </c>
      <c r="R727" s="19" t="s">
        <v>1021</v>
      </c>
      <c r="S727" s="19"/>
    </row>
    <row r="728" spans="1:19">
      <c r="A728" s="19" t="s">
        <v>727</v>
      </c>
      <c r="B728" s="19" t="s">
        <v>826</v>
      </c>
      <c r="C728" s="19" t="s">
        <v>831</v>
      </c>
      <c r="D728" s="20">
        <v>1</v>
      </c>
      <c r="E728" s="19" t="s">
        <v>844</v>
      </c>
      <c r="F728" s="19" t="s">
        <v>868</v>
      </c>
      <c r="G728" s="19" t="s">
        <v>892</v>
      </c>
      <c r="H728" s="19" t="s">
        <v>976</v>
      </c>
      <c r="I728" s="19" t="s">
        <v>991</v>
      </c>
      <c r="J728" s="19" t="s">
        <v>1006</v>
      </c>
      <c r="K728" s="24">
        <v>46225</v>
      </c>
      <c r="L728" s="26">
        <v>46225.43194444444</v>
      </c>
      <c r="M728" s="26">
        <v>46225.59444444445</v>
      </c>
      <c r="N728" s="21">
        <v>3.9</v>
      </c>
      <c r="O728" s="23">
        <v>3414.28</v>
      </c>
      <c r="P728" s="19" t="s">
        <v>1014</v>
      </c>
      <c r="Q728" s="20">
        <v>0</v>
      </c>
      <c r="R728" s="19" t="s">
        <v>1022</v>
      </c>
      <c r="S728" s="19"/>
    </row>
    <row r="729" spans="1:19">
      <c r="A729" s="19" t="s">
        <v>728</v>
      </c>
      <c r="B729" s="19" t="s">
        <v>825</v>
      </c>
      <c r="C729" s="19" t="s">
        <v>830</v>
      </c>
      <c r="D729" s="20">
        <v>1</v>
      </c>
      <c r="E729" s="19" t="s">
        <v>835</v>
      </c>
      <c r="F729" s="19" t="s">
        <v>859</v>
      </c>
      <c r="G729" s="19" t="s">
        <v>883</v>
      </c>
      <c r="H729" s="19" t="s">
        <v>943</v>
      </c>
      <c r="I729" s="19" t="s">
        <v>990</v>
      </c>
      <c r="J729" s="19" t="s">
        <v>1005</v>
      </c>
      <c r="K729" s="24">
        <v>46226</v>
      </c>
      <c r="L729" s="26">
        <v>46226.17430555556</v>
      </c>
      <c r="M729" s="26">
        <v>46226.42013888889</v>
      </c>
      <c r="N729" s="21">
        <v>5.9</v>
      </c>
      <c r="O729" s="23">
        <v>2594.84</v>
      </c>
      <c r="P729" s="19" t="s">
        <v>1014</v>
      </c>
      <c r="Q729" s="20">
        <v>0</v>
      </c>
      <c r="R729" s="19" t="s">
        <v>1023</v>
      </c>
      <c r="S729" s="19" t="s">
        <v>1026</v>
      </c>
    </row>
    <row r="730" spans="1:19">
      <c r="A730" s="19" t="s">
        <v>729</v>
      </c>
      <c r="B730" s="19" t="s">
        <v>823</v>
      </c>
      <c r="C730" s="19" t="s">
        <v>828</v>
      </c>
      <c r="D730" s="20">
        <v>0</v>
      </c>
      <c r="E730" s="19" t="s">
        <v>846</v>
      </c>
      <c r="F730" s="19" t="s">
        <v>870</v>
      </c>
      <c r="G730" s="19" t="s">
        <v>894</v>
      </c>
      <c r="H730" s="19" t="s">
        <v>907</v>
      </c>
      <c r="I730" s="19" t="s">
        <v>989</v>
      </c>
      <c r="J730" s="19" t="s">
        <v>1004</v>
      </c>
      <c r="K730" s="24">
        <v>46226</v>
      </c>
      <c r="L730" s="19"/>
      <c r="M730" s="19"/>
      <c r="N730" s="21">
        <v>0</v>
      </c>
      <c r="O730" s="23">
        <v>258.27</v>
      </c>
      <c r="P730" s="19" t="s">
        <v>1016</v>
      </c>
      <c r="Q730" s="20">
        <v>1</v>
      </c>
      <c r="R730" s="19" t="s">
        <v>1021</v>
      </c>
      <c r="S730" s="19"/>
    </row>
    <row r="731" spans="1:19">
      <c r="A731" s="19" t="s">
        <v>730</v>
      </c>
      <c r="B731" s="19" t="s">
        <v>824</v>
      </c>
      <c r="C731" s="19" t="s">
        <v>829</v>
      </c>
      <c r="D731" s="20">
        <v>0</v>
      </c>
      <c r="E731" s="19" t="s">
        <v>842</v>
      </c>
      <c r="F731" s="19" t="s">
        <v>866</v>
      </c>
      <c r="G731" s="19" t="s">
        <v>890</v>
      </c>
      <c r="H731" s="19" t="s">
        <v>925</v>
      </c>
      <c r="I731" s="19" t="s">
        <v>989</v>
      </c>
      <c r="J731" s="19" t="s">
        <v>1004</v>
      </c>
      <c r="K731" s="24">
        <v>46226</v>
      </c>
      <c r="L731" s="19"/>
      <c r="M731" s="19"/>
      <c r="N731" s="21">
        <v>0</v>
      </c>
      <c r="O731" s="23">
        <v>320</v>
      </c>
      <c r="P731" s="19" t="s">
        <v>1014</v>
      </c>
      <c r="Q731" s="20">
        <v>0</v>
      </c>
      <c r="R731" s="19" t="s">
        <v>1021</v>
      </c>
      <c r="S731" s="19"/>
    </row>
    <row r="732" spans="1:19">
      <c r="A732" s="19" t="s">
        <v>731</v>
      </c>
      <c r="B732" s="19" t="s">
        <v>823</v>
      </c>
      <c r="C732" s="19" t="s">
        <v>828</v>
      </c>
      <c r="D732" s="20">
        <v>0</v>
      </c>
      <c r="E732" s="19" t="s">
        <v>837</v>
      </c>
      <c r="F732" s="19" t="s">
        <v>861</v>
      </c>
      <c r="G732" s="19" t="s">
        <v>885</v>
      </c>
      <c r="H732" s="19" t="s">
        <v>907</v>
      </c>
      <c r="I732" s="19" t="s">
        <v>989</v>
      </c>
      <c r="J732" s="19" t="s">
        <v>1004</v>
      </c>
      <c r="K732" s="24">
        <v>46227</v>
      </c>
      <c r="L732" s="19"/>
      <c r="M732" s="19"/>
      <c r="N732" s="21">
        <v>0</v>
      </c>
      <c r="O732" s="23">
        <v>693.35</v>
      </c>
      <c r="P732" s="19" t="s">
        <v>1015</v>
      </c>
      <c r="Q732" s="20">
        <v>0</v>
      </c>
      <c r="R732" s="19" t="s">
        <v>1023</v>
      </c>
      <c r="S732" s="19"/>
    </row>
    <row r="733" spans="1:19">
      <c r="A733" s="19" t="s">
        <v>732</v>
      </c>
      <c r="B733" s="19" t="s">
        <v>823</v>
      </c>
      <c r="C733" s="19" t="s">
        <v>828</v>
      </c>
      <c r="D733" s="20">
        <v>0</v>
      </c>
      <c r="E733" s="19" t="s">
        <v>842</v>
      </c>
      <c r="F733" s="19" t="s">
        <v>866</v>
      </c>
      <c r="G733" s="19" t="s">
        <v>890</v>
      </c>
      <c r="H733" s="19" t="s">
        <v>912</v>
      </c>
      <c r="I733" s="19" t="s">
        <v>989</v>
      </c>
      <c r="J733" s="19" t="s">
        <v>1004</v>
      </c>
      <c r="K733" s="24">
        <v>46227</v>
      </c>
      <c r="L733" s="19"/>
      <c r="M733" s="19"/>
      <c r="N733" s="21">
        <v>0</v>
      </c>
      <c r="O733" s="23">
        <v>834.01</v>
      </c>
      <c r="P733" s="19" t="s">
        <v>1016</v>
      </c>
      <c r="Q733" s="20">
        <v>1</v>
      </c>
      <c r="R733" s="19" t="s">
        <v>1023</v>
      </c>
      <c r="S733" s="19"/>
    </row>
    <row r="734" spans="1:19">
      <c r="A734" s="19" t="s">
        <v>733</v>
      </c>
      <c r="B734" s="19" t="s">
        <v>823</v>
      </c>
      <c r="C734" s="19" t="s">
        <v>828</v>
      </c>
      <c r="D734" s="20">
        <v>0</v>
      </c>
      <c r="E734" s="19" t="s">
        <v>856</v>
      </c>
      <c r="F734" s="19" t="s">
        <v>880</v>
      </c>
      <c r="G734" s="19" t="s">
        <v>904</v>
      </c>
      <c r="H734" s="19" t="s">
        <v>912</v>
      </c>
      <c r="I734" s="19" t="s">
        <v>989</v>
      </c>
      <c r="J734" s="19" t="s">
        <v>1004</v>
      </c>
      <c r="K734" s="24">
        <v>46228</v>
      </c>
      <c r="L734" s="19"/>
      <c r="M734" s="19"/>
      <c r="N734" s="21">
        <v>0</v>
      </c>
      <c r="O734" s="23">
        <v>204.73</v>
      </c>
      <c r="P734" s="19" t="s">
        <v>1014</v>
      </c>
      <c r="Q734" s="20">
        <v>0</v>
      </c>
      <c r="R734" s="19" t="s">
        <v>1021</v>
      </c>
      <c r="S734" s="19"/>
    </row>
    <row r="735" spans="1:19">
      <c r="A735" s="19" t="s">
        <v>734</v>
      </c>
      <c r="B735" s="19" t="s">
        <v>823</v>
      </c>
      <c r="C735" s="19" t="s">
        <v>828</v>
      </c>
      <c r="D735" s="20">
        <v>0</v>
      </c>
      <c r="E735" s="19" t="s">
        <v>839</v>
      </c>
      <c r="F735" s="19" t="s">
        <v>863</v>
      </c>
      <c r="G735" s="19" t="s">
        <v>887</v>
      </c>
      <c r="H735" s="19" t="s">
        <v>909</v>
      </c>
      <c r="I735" s="19" t="s">
        <v>989</v>
      </c>
      <c r="J735" s="19" t="s">
        <v>1004</v>
      </c>
      <c r="K735" s="24">
        <v>46228</v>
      </c>
      <c r="L735" s="19"/>
      <c r="M735" s="19"/>
      <c r="N735" s="21">
        <v>0</v>
      </c>
      <c r="O735" s="23">
        <v>758.0700000000001</v>
      </c>
      <c r="P735" s="19" t="s">
        <v>1014</v>
      </c>
      <c r="Q735" s="20">
        <v>0</v>
      </c>
      <c r="R735" s="19" t="s">
        <v>1021</v>
      </c>
      <c r="S735" s="19"/>
    </row>
    <row r="736" spans="1:19">
      <c r="A736" s="19" t="s">
        <v>735</v>
      </c>
      <c r="B736" s="19" t="s">
        <v>823</v>
      </c>
      <c r="C736" s="19" t="s">
        <v>828</v>
      </c>
      <c r="D736" s="20">
        <v>0</v>
      </c>
      <c r="E736" s="19" t="s">
        <v>853</v>
      </c>
      <c r="F736" s="19" t="s">
        <v>877</v>
      </c>
      <c r="G736" s="19" t="s">
        <v>901</v>
      </c>
      <c r="H736" s="19" t="s">
        <v>907</v>
      </c>
      <c r="I736" s="19" t="s">
        <v>989</v>
      </c>
      <c r="J736" s="19" t="s">
        <v>1004</v>
      </c>
      <c r="K736" s="24">
        <v>46228</v>
      </c>
      <c r="L736" s="19"/>
      <c r="M736" s="19"/>
      <c r="N736" s="21">
        <v>0</v>
      </c>
      <c r="O736" s="23">
        <v>267.17</v>
      </c>
      <c r="P736" s="19" t="s">
        <v>1015</v>
      </c>
      <c r="Q736" s="20">
        <v>0</v>
      </c>
      <c r="R736" s="19" t="s">
        <v>1021</v>
      </c>
      <c r="S736" s="19"/>
    </row>
    <row r="737" spans="1:19">
      <c r="A737" s="19" t="s">
        <v>736</v>
      </c>
      <c r="B737" s="19" t="s">
        <v>826</v>
      </c>
      <c r="C737" s="19" t="s">
        <v>831</v>
      </c>
      <c r="D737" s="20">
        <v>1</v>
      </c>
      <c r="E737" s="19" t="s">
        <v>843</v>
      </c>
      <c r="F737" s="19" t="s">
        <v>867</v>
      </c>
      <c r="G737" s="19" t="s">
        <v>891</v>
      </c>
      <c r="H737" s="19" t="s">
        <v>981</v>
      </c>
      <c r="I737" s="19" t="s">
        <v>1000</v>
      </c>
      <c r="J737" s="19" t="s">
        <v>1006</v>
      </c>
      <c r="K737" s="24">
        <v>46229</v>
      </c>
      <c r="L737" s="26">
        <v>46229.125</v>
      </c>
      <c r="M737" s="26">
        <v>46229.39583333334</v>
      </c>
      <c r="N737" s="21">
        <v>6.5</v>
      </c>
      <c r="O737" s="23">
        <v>3100</v>
      </c>
      <c r="P737" s="19" t="s">
        <v>1014</v>
      </c>
      <c r="Q737" s="20">
        <v>0</v>
      </c>
      <c r="R737" s="19" t="s">
        <v>1024</v>
      </c>
      <c r="S737" s="19"/>
    </row>
    <row r="738" spans="1:19">
      <c r="A738" s="19" t="s">
        <v>737</v>
      </c>
      <c r="B738" s="19" t="s">
        <v>824</v>
      </c>
      <c r="C738" s="19" t="s">
        <v>829</v>
      </c>
      <c r="D738" s="20">
        <v>0</v>
      </c>
      <c r="E738" s="19" t="s">
        <v>841</v>
      </c>
      <c r="F738" s="19" t="s">
        <v>865</v>
      </c>
      <c r="G738" s="19" t="s">
        <v>889</v>
      </c>
      <c r="H738" s="19" t="s">
        <v>914</v>
      </c>
      <c r="I738" s="19" t="s">
        <v>989</v>
      </c>
      <c r="J738" s="19" t="s">
        <v>1004</v>
      </c>
      <c r="K738" s="24">
        <v>46229</v>
      </c>
      <c r="L738" s="19"/>
      <c r="M738" s="19"/>
      <c r="N738" s="21">
        <v>0</v>
      </c>
      <c r="O738" s="23">
        <v>480</v>
      </c>
      <c r="P738" s="19" t="s">
        <v>1014</v>
      </c>
      <c r="Q738" s="20">
        <v>0</v>
      </c>
      <c r="R738" s="19" t="s">
        <v>1022</v>
      </c>
      <c r="S738" s="19"/>
    </row>
    <row r="739" spans="1:19">
      <c r="A739" s="19" t="s">
        <v>738</v>
      </c>
      <c r="B739" s="19" t="s">
        <v>826</v>
      </c>
      <c r="C739" s="19" t="s">
        <v>831</v>
      </c>
      <c r="D739" s="20">
        <v>1</v>
      </c>
      <c r="E739" s="19" t="s">
        <v>837</v>
      </c>
      <c r="F739" s="19" t="s">
        <v>861</v>
      </c>
      <c r="G739" s="19" t="s">
        <v>885</v>
      </c>
      <c r="H739" s="19" t="s">
        <v>969</v>
      </c>
      <c r="I739" s="19" t="s">
        <v>1002</v>
      </c>
      <c r="J739" s="19" t="s">
        <v>1006</v>
      </c>
      <c r="K739" s="24">
        <v>46230</v>
      </c>
      <c r="L739" s="26">
        <v>46230.95555555556</v>
      </c>
      <c r="M739" s="26">
        <v>46231.23888888889</v>
      </c>
      <c r="N739" s="21">
        <v>6.8</v>
      </c>
      <c r="O739" s="23">
        <v>8568.440000000001</v>
      </c>
      <c r="P739" s="19" t="s">
        <v>1016</v>
      </c>
      <c r="Q739" s="20">
        <v>1</v>
      </c>
      <c r="R739" s="19" t="s">
        <v>1022</v>
      </c>
      <c r="S739" s="19"/>
    </row>
    <row r="740" spans="1:19">
      <c r="A740" s="19" t="s">
        <v>739</v>
      </c>
      <c r="B740" s="19" t="s">
        <v>823</v>
      </c>
      <c r="C740" s="19" t="s">
        <v>828</v>
      </c>
      <c r="D740" s="20">
        <v>0</v>
      </c>
      <c r="E740" s="19" t="s">
        <v>848</v>
      </c>
      <c r="F740" s="19" t="s">
        <v>872</v>
      </c>
      <c r="G740" s="19" t="s">
        <v>896</v>
      </c>
      <c r="H740" s="19" t="s">
        <v>917</v>
      </c>
      <c r="I740" s="19" t="s">
        <v>989</v>
      </c>
      <c r="J740" s="19" t="s">
        <v>1004</v>
      </c>
      <c r="K740" s="24">
        <v>46231</v>
      </c>
      <c r="L740" s="19"/>
      <c r="M740" s="19"/>
      <c r="N740" s="21">
        <v>0</v>
      </c>
      <c r="O740" s="23">
        <v>1828.28</v>
      </c>
      <c r="P740" s="19" t="s">
        <v>1014</v>
      </c>
      <c r="Q740" s="20">
        <v>0</v>
      </c>
      <c r="R740" s="19" t="s">
        <v>1023</v>
      </c>
      <c r="S740" s="19"/>
    </row>
    <row r="741" spans="1:19">
      <c r="A741" s="19" t="s">
        <v>740</v>
      </c>
      <c r="B741" s="19" t="s">
        <v>823</v>
      </c>
      <c r="C741" s="19" t="s">
        <v>828</v>
      </c>
      <c r="D741" s="20">
        <v>0</v>
      </c>
      <c r="E741" s="19" t="s">
        <v>838</v>
      </c>
      <c r="F741" s="19" t="s">
        <v>862</v>
      </c>
      <c r="G741" s="19" t="s">
        <v>886</v>
      </c>
      <c r="H741" s="19" t="s">
        <v>912</v>
      </c>
      <c r="I741" s="19" t="s">
        <v>989</v>
      </c>
      <c r="J741" s="19" t="s">
        <v>1004</v>
      </c>
      <c r="K741" s="24">
        <v>46231</v>
      </c>
      <c r="L741" s="19"/>
      <c r="M741" s="19"/>
      <c r="N741" s="21">
        <v>0</v>
      </c>
      <c r="O741" s="23">
        <v>149.97</v>
      </c>
      <c r="P741" s="19" t="s">
        <v>1014</v>
      </c>
      <c r="Q741" s="20">
        <v>0</v>
      </c>
      <c r="R741" s="19" t="s">
        <v>1021</v>
      </c>
      <c r="S741" s="19"/>
    </row>
    <row r="742" spans="1:19">
      <c r="A742" s="19" t="s">
        <v>741</v>
      </c>
      <c r="B742" s="19" t="s">
        <v>824</v>
      </c>
      <c r="C742" s="19" t="s">
        <v>829</v>
      </c>
      <c r="D742" s="20">
        <v>0</v>
      </c>
      <c r="E742" s="19" t="s">
        <v>836</v>
      </c>
      <c r="F742" s="19" t="s">
        <v>860</v>
      </c>
      <c r="G742" s="19" t="s">
        <v>884</v>
      </c>
      <c r="H742" s="19" t="s">
        <v>910</v>
      </c>
      <c r="I742" s="19" t="s">
        <v>989</v>
      </c>
      <c r="J742" s="19" t="s">
        <v>1004</v>
      </c>
      <c r="K742" s="24">
        <v>46231</v>
      </c>
      <c r="L742" s="19"/>
      <c r="M742" s="19"/>
      <c r="N742" s="21">
        <v>0</v>
      </c>
      <c r="O742" s="23">
        <v>120</v>
      </c>
      <c r="P742" s="19" t="s">
        <v>1014</v>
      </c>
      <c r="Q742" s="20">
        <v>0</v>
      </c>
      <c r="R742" s="19" t="s">
        <v>1022</v>
      </c>
      <c r="S742" s="19"/>
    </row>
    <row r="743" spans="1:19">
      <c r="A743" s="19" t="s">
        <v>742</v>
      </c>
      <c r="B743" s="19" t="s">
        <v>823</v>
      </c>
      <c r="C743" s="19" t="s">
        <v>828</v>
      </c>
      <c r="D743" s="20">
        <v>0</v>
      </c>
      <c r="E743" s="19" t="s">
        <v>847</v>
      </c>
      <c r="F743" s="19" t="s">
        <v>871</v>
      </c>
      <c r="G743" s="19" t="s">
        <v>895</v>
      </c>
      <c r="H743" s="19" t="s">
        <v>912</v>
      </c>
      <c r="I743" s="19" t="s">
        <v>989</v>
      </c>
      <c r="J743" s="19" t="s">
        <v>1004</v>
      </c>
      <c r="K743" s="24">
        <v>46232</v>
      </c>
      <c r="L743" s="19"/>
      <c r="M743" s="19"/>
      <c r="N743" s="21">
        <v>0</v>
      </c>
      <c r="O743" s="23">
        <v>472.39</v>
      </c>
      <c r="P743" s="19" t="s">
        <v>1014</v>
      </c>
      <c r="Q743" s="20">
        <v>0</v>
      </c>
      <c r="R743" s="19" t="s">
        <v>1022</v>
      </c>
      <c r="S743" s="19"/>
    </row>
    <row r="744" spans="1:19">
      <c r="A744" s="19" t="s">
        <v>743</v>
      </c>
      <c r="B744" s="19" t="s">
        <v>824</v>
      </c>
      <c r="C744" s="19" t="s">
        <v>829</v>
      </c>
      <c r="D744" s="20">
        <v>0</v>
      </c>
      <c r="E744" s="19" t="s">
        <v>838</v>
      </c>
      <c r="F744" s="19" t="s">
        <v>862</v>
      </c>
      <c r="G744" s="19" t="s">
        <v>886</v>
      </c>
      <c r="H744" s="19" t="s">
        <v>910</v>
      </c>
      <c r="I744" s="19" t="s">
        <v>989</v>
      </c>
      <c r="J744" s="19" t="s">
        <v>1004</v>
      </c>
      <c r="K744" s="24">
        <v>46232</v>
      </c>
      <c r="L744" s="19"/>
      <c r="M744" s="19"/>
      <c r="N744" s="21">
        <v>0</v>
      </c>
      <c r="O744" s="23">
        <v>80</v>
      </c>
      <c r="P744" s="19" t="s">
        <v>1014</v>
      </c>
      <c r="Q744" s="20">
        <v>0</v>
      </c>
      <c r="R744" s="19" t="s">
        <v>1022</v>
      </c>
      <c r="S744" s="19"/>
    </row>
    <row r="745" spans="1:19">
      <c r="A745" s="19" t="s">
        <v>744</v>
      </c>
      <c r="B745" s="19" t="s">
        <v>824</v>
      </c>
      <c r="C745" s="19" t="s">
        <v>829</v>
      </c>
      <c r="D745" s="20">
        <v>0</v>
      </c>
      <c r="E745" s="19" t="s">
        <v>839</v>
      </c>
      <c r="F745" s="19" t="s">
        <v>863</v>
      </c>
      <c r="G745" s="19" t="s">
        <v>887</v>
      </c>
      <c r="H745" s="19" t="s">
        <v>910</v>
      </c>
      <c r="I745" s="19" t="s">
        <v>989</v>
      </c>
      <c r="J745" s="19" t="s">
        <v>1004</v>
      </c>
      <c r="K745" s="24">
        <v>46232</v>
      </c>
      <c r="L745" s="19"/>
      <c r="M745" s="19"/>
      <c r="N745" s="21">
        <v>0</v>
      </c>
      <c r="O745" s="23">
        <v>160</v>
      </c>
      <c r="P745" s="19" t="s">
        <v>1014</v>
      </c>
      <c r="Q745" s="20">
        <v>0</v>
      </c>
      <c r="R745" s="19" t="s">
        <v>1023</v>
      </c>
      <c r="S745" s="19"/>
    </row>
    <row r="746" spans="1:19">
      <c r="A746" s="19" t="s">
        <v>745</v>
      </c>
      <c r="B746" s="19" t="s">
        <v>824</v>
      </c>
      <c r="C746" s="19" t="s">
        <v>829</v>
      </c>
      <c r="D746" s="20">
        <v>0</v>
      </c>
      <c r="E746" s="19" t="s">
        <v>840</v>
      </c>
      <c r="F746" s="19" t="s">
        <v>864</v>
      </c>
      <c r="G746" s="19" t="s">
        <v>888</v>
      </c>
      <c r="H746" s="19" t="s">
        <v>910</v>
      </c>
      <c r="I746" s="19" t="s">
        <v>989</v>
      </c>
      <c r="J746" s="19" t="s">
        <v>1004</v>
      </c>
      <c r="K746" s="24">
        <v>46232</v>
      </c>
      <c r="L746" s="19"/>
      <c r="M746" s="19"/>
      <c r="N746" s="21">
        <v>0</v>
      </c>
      <c r="O746" s="23">
        <v>240</v>
      </c>
      <c r="P746" s="19" t="s">
        <v>1016</v>
      </c>
      <c r="Q746" s="20">
        <v>1</v>
      </c>
      <c r="R746" s="19" t="s">
        <v>1022</v>
      </c>
      <c r="S746" s="19"/>
    </row>
    <row r="747" spans="1:19">
      <c r="A747" s="19" t="s">
        <v>746</v>
      </c>
      <c r="B747" s="19" t="s">
        <v>825</v>
      </c>
      <c r="C747" s="19" t="s">
        <v>830</v>
      </c>
      <c r="D747" s="20">
        <v>1</v>
      </c>
      <c r="E747" s="19" t="s">
        <v>843</v>
      </c>
      <c r="F747" s="19" t="s">
        <v>867</v>
      </c>
      <c r="G747" s="19" t="s">
        <v>891</v>
      </c>
      <c r="H747" s="19" t="s">
        <v>934</v>
      </c>
      <c r="I747" s="19" t="s">
        <v>993</v>
      </c>
      <c r="J747" s="19" t="s">
        <v>1006</v>
      </c>
      <c r="K747" s="24">
        <v>46233</v>
      </c>
      <c r="L747" s="26">
        <v>46233.01319444444</v>
      </c>
      <c r="M747" s="26">
        <v>46233.17569444444</v>
      </c>
      <c r="N747" s="21">
        <v>0</v>
      </c>
      <c r="O747" s="23">
        <v>2031.6</v>
      </c>
      <c r="P747" s="19" t="s">
        <v>1015</v>
      </c>
      <c r="Q747" s="20">
        <v>0</v>
      </c>
      <c r="R747" s="19" t="s">
        <v>1023</v>
      </c>
      <c r="S747" s="19"/>
    </row>
    <row r="748" spans="1:19">
      <c r="A748" s="19" t="s">
        <v>747</v>
      </c>
      <c r="B748" s="19" t="s">
        <v>823</v>
      </c>
      <c r="C748" s="19" t="s">
        <v>828</v>
      </c>
      <c r="D748" s="20">
        <v>0</v>
      </c>
      <c r="E748" s="19" t="s">
        <v>851</v>
      </c>
      <c r="F748" s="19" t="s">
        <v>875</v>
      </c>
      <c r="G748" s="19" t="s">
        <v>899</v>
      </c>
      <c r="H748" s="19" t="s">
        <v>907</v>
      </c>
      <c r="I748" s="19" t="s">
        <v>989</v>
      </c>
      <c r="J748" s="19" t="s">
        <v>1004</v>
      </c>
      <c r="K748" s="24">
        <v>46233</v>
      </c>
      <c r="L748" s="19"/>
      <c r="M748" s="19"/>
      <c r="N748" s="21">
        <v>0</v>
      </c>
      <c r="O748" s="23">
        <v>375.65</v>
      </c>
      <c r="P748" s="19" t="s">
        <v>1015</v>
      </c>
      <c r="Q748" s="20">
        <v>0</v>
      </c>
      <c r="R748" s="19" t="s">
        <v>1023</v>
      </c>
      <c r="S748" s="19"/>
    </row>
    <row r="749" spans="1:19">
      <c r="A749" s="19" t="s">
        <v>748</v>
      </c>
      <c r="B749" s="19" t="s">
        <v>825</v>
      </c>
      <c r="C749" s="19" t="s">
        <v>830</v>
      </c>
      <c r="D749" s="20">
        <v>1</v>
      </c>
      <c r="E749" s="19" t="s">
        <v>842</v>
      </c>
      <c r="F749" s="19" t="s">
        <v>866</v>
      </c>
      <c r="G749" s="19" t="s">
        <v>890</v>
      </c>
      <c r="H749" s="19" t="s">
        <v>935</v>
      </c>
      <c r="I749" s="19" t="s">
        <v>998</v>
      </c>
      <c r="J749" s="19" t="s">
        <v>1005</v>
      </c>
      <c r="K749" s="24">
        <v>46233</v>
      </c>
      <c r="L749" s="26">
        <v>46233.32222222222</v>
      </c>
      <c r="M749" s="26">
        <v>46233.48472222222</v>
      </c>
      <c r="N749" s="21">
        <v>0</v>
      </c>
      <c r="O749" s="23">
        <v>4629.53</v>
      </c>
      <c r="P749" s="19" t="s">
        <v>1014</v>
      </c>
      <c r="Q749" s="20">
        <v>0</v>
      </c>
      <c r="R749" s="19" t="s">
        <v>1023</v>
      </c>
      <c r="S749" s="19" t="s">
        <v>1030</v>
      </c>
    </row>
    <row r="750" spans="1:19">
      <c r="A750" s="19" t="s">
        <v>749</v>
      </c>
      <c r="B750" s="19" t="s">
        <v>824</v>
      </c>
      <c r="C750" s="19" t="s">
        <v>829</v>
      </c>
      <c r="D750" s="20">
        <v>0</v>
      </c>
      <c r="E750" s="19" t="s">
        <v>835</v>
      </c>
      <c r="F750" s="19" t="s">
        <v>859</v>
      </c>
      <c r="G750" s="19" t="s">
        <v>883</v>
      </c>
      <c r="H750" s="19" t="s">
        <v>914</v>
      </c>
      <c r="I750" s="19" t="s">
        <v>989</v>
      </c>
      <c r="J750" s="19" t="s">
        <v>1004</v>
      </c>
      <c r="K750" s="24">
        <v>46233</v>
      </c>
      <c r="L750" s="19"/>
      <c r="M750" s="19"/>
      <c r="N750" s="21">
        <v>0</v>
      </c>
      <c r="O750" s="23">
        <v>152</v>
      </c>
      <c r="P750" s="19" t="s">
        <v>1016</v>
      </c>
      <c r="Q750" s="20">
        <v>1</v>
      </c>
      <c r="R750" s="19" t="s">
        <v>1023</v>
      </c>
      <c r="S750" s="19"/>
    </row>
    <row r="751" spans="1:19">
      <c r="A751" s="19" t="s">
        <v>750</v>
      </c>
      <c r="B751" s="19" t="s">
        <v>825</v>
      </c>
      <c r="C751" s="19" t="s">
        <v>830</v>
      </c>
      <c r="D751" s="20">
        <v>1</v>
      </c>
      <c r="E751" s="19" t="s">
        <v>836</v>
      </c>
      <c r="F751" s="19" t="s">
        <v>860</v>
      </c>
      <c r="G751" s="19" t="s">
        <v>884</v>
      </c>
      <c r="H751" s="19" t="s">
        <v>979</v>
      </c>
      <c r="I751" s="19" t="s">
        <v>999</v>
      </c>
      <c r="J751" s="19" t="s">
        <v>1006</v>
      </c>
      <c r="K751" s="24">
        <v>46234</v>
      </c>
      <c r="L751" s="26">
        <v>46234.1875</v>
      </c>
      <c r="M751" s="26">
        <v>46234.39583333334</v>
      </c>
      <c r="N751" s="21">
        <v>0</v>
      </c>
      <c r="O751" s="23">
        <v>3745.05</v>
      </c>
      <c r="P751" s="19" t="s">
        <v>1014</v>
      </c>
      <c r="Q751" s="20">
        <v>0</v>
      </c>
      <c r="R751" s="19" t="s">
        <v>1022</v>
      </c>
      <c r="S751" s="19"/>
    </row>
    <row r="752" spans="1:19">
      <c r="A752" s="19" t="s">
        <v>751</v>
      </c>
      <c r="B752" s="19" t="s">
        <v>824</v>
      </c>
      <c r="C752" s="19" t="s">
        <v>829</v>
      </c>
      <c r="D752" s="20">
        <v>0</v>
      </c>
      <c r="E752" s="19" t="s">
        <v>837</v>
      </c>
      <c r="F752" s="19" t="s">
        <v>861</v>
      </c>
      <c r="G752" s="19" t="s">
        <v>885</v>
      </c>
      <c r="H752" s="19" t="s">
        <v>908</v>
      </c>
      <c r="I752" s="19" t="s">
        <v>989</v>
      </c>
      <c r="J752" s="19" t="s">
        <v>1004</v>
      </c>
      <c r="K752" s="24">
        <v>46235</v>
      </c>
      <c r="L752" s="19"/>
      <c r="M752" s="19"/>
      <c r="N752" s="21">
        <v>0</v>
      </c>
      <c r="O752" s="23">
        <v>260</v>
      </c>
      <c r="P752" s="19" t="s">
        <v>1015</v>
      </c>
      <c r="Q752" s="20">
        <v>0</v>
      </c>
      <c r="R752" s="19" t="s">
        <v>1023</v>
      </c>
      <c r="S752" s="19"/>
    </row>
    <row r="753" spans="1:19">
      <c r="A753" s="19" t="s">
        <v>752</v>
      </c>
      <c r="B753" s="19" t="s">
        <v>823</v>
      </c>
      <c r="C753" s="19" t="s">
        <v>828</v>
      </c>
      <c r="D753" s="20">
        <v>0</v>
      </c>
      <c r="E753" s="19" t="s">
        <v>844</v>
      </c>
      <c r="F753" s="19" t="s">
        <v>868</v>
      </c>
      <c r="G753" s="19" t="s">
        <v>892</v>
      </c>
      <c r="H753" s="19" t="s">
        <v>907</v>
      </c>
      <c r="I753" s="19" t="s">
        <v>989</v>
      </c>
      <c r="J753" s="19" t="s">
        <v>1004</v>
      </c>
      <c r="K753" s="24">
        <v>46236</v>
      </c>
      <c r="L753" s="19"/>
      <c r="M753" s="19"/>
      <c r="N753" s="21">
        <v>0</v>
      </c>
      <c r="O753" s="23">
        <v>451.04</v>
      </c>
      <c r="P753" s="19" t="s">
        <v>1016</v>
      </c>
      <c r="Q753" s="20">
        <v>1</v>
      </c>
      <c r="R753" s="19" t="s">
        <v>1023</v>
      </c>
      <c r="S753" s="19"/>
    </row>
    <row r="754" spans="1:19">
      <c r="A754" s="19" t="s">
        <v>753</v>
      </c>
      <c r="B754" s="19" t="s">
        <v>823</v>
      </c>
      <c r="C754" s="19" t="s">
        <v>828</v>
      </c>
      <c r="D754" s="20">
        <v>0</v>
      </c>
      <c r="E754" s="19" t="s">
        <v>855</v>
      </c>
      <c r="F754" s="19" t="s">
        <v>879</v>
      </c>
      <c r="G754" s="19" t="s">
        <v>903</v>
      </c>
      <c r="H754" s="19" t="s">
        <v>912</v>
      </c>
      <c r="I754" s="19" t="s">
        <v>989</v>
      </c>
      <c r="J754" s="19" t="s">
        <v>1004</v>
      </c>
      <c r="K754" s="24">
        <v>46236</v>
      </c>
      <c r="L754" s="19"/>
      <c r="M754" s="19"/>
      <c r="N754" s="21">
        <v>0</v>
      </c>
      <c r="O754" s="23">
        <v>149.33</v>
      </c>
      <c r="P754" s="19" t="s">
        <v>1015</v>
      </c>
      <c r="Q754" s="20">
        <v>0</v>
      </c>
      <c r="R754" s="19" t="s">
        <v>1021</v>
      </c>
      <c r="S754" s="19"/>
    </row>
    <row r="755" spans="1:19">
      <c r="A755" s="19" t="s">
        <v>754</v>
      </c>
      <c r="B755" s="19" t="s">
        <v>823</v>
      </c>
      <c r="C755" s="19" t="s">
        <v>828</v>
      </c>
      <c r="D755" s="20">
        <v>0</v>
      </c>
      <c r="E755" s="19" t="s">
        <v>840</v>
      </c>
      <c r="F755" s="19" t="s">
        <v>864</v>
      </c>
      <c r="G755" s="19" t="s">
        <v>888</v>
      </c>
      <c r="H755" s="19" t="s">
        <v>907</v>
      </c>
      <c r="I755" s="19" t="s">
        <v>989</v>
      </c>
      <c r="J755" s="19" t="s">
        <v>1004</v>
      </c>
      <c r="K755" s="24">
        <v>46236</v>
      </c>
      <c r="L755" s="19"/>
      <c r="M755" s="19"/>
      <c r="N755" s="21">
        <v>0</v>
      </c>
      <c r="O755" s="23">
        <v>860.3</v>
      </c>
      <c r="P755" s="19" t="s">
        <v>1014</v>
      </c>
      <c r="Q755" s="20">
        <v>0</v>
      </c>
      <c r="R755" s="19" t="s">
        <v>1021</v>
      </c>
      <c r="S755" s="19"/>
    </row>
    <row r="756" spans="1:19">
      <c r="A756" s="19" t="s">
        <v>755</v>
      </c>
      <c r="B756" s="19" t="s">
        <v>824</v>
      </c>
      <c r="C756" s="19" t="s">
        <v>829</v>
      </c>
      <c r="D756" s="20">
        <v>0</v>
      </c>
      <c r="E756" s="19" t="s">
        <v>846</v>
      </c>
      <c r="F756" s="19" t="s">
        <v>870</v>
      </c>
      <c r="G756" s="19" t="s">
        <v>894</v>
      </c>
      <c r="H756" s="19" t="s">
        <v>925</v>
      </c>
      <c r="I756" s="19" t="s">
        <v>989</v>
      </c>
      <c r="J756" s="19" t="s">
        <v>1004</v>
      </c>
      <c r="K756" s="24">
        <v>46236</v>
      </c>
      <c r="L756" s="19"/>
      <c r="M756" s="19"/>
      <c r="N756" s="21">
        <v>0</v>
      </c>
      <c r="O756" s="23">
        <v>100</v>
      </c>
      <c r="P756" s="19" t="s">
        <v>1014</v>
      </c>
      <c r="Q756" s="20">
        <v>0</v>
      </c>
      <c r="R756" s="19" t="s">
        <v>1022</v>
      </c>
      <c r="S756" s="19"/>
    </row>
    <row r="757" spans="1:19">
      <c r="A757" s="19" t="s">
        <v>756</v>
      </c>
      <c r="B757" s="19" t="s">
        <v>823</v>
      </c>
      <c r="C757" s="19" t="s">
        <v>828</v>
      </c>
      <c r="D757" s="20">
        <v>0</v>
      </c>
      <c r="E757" s="19" t="s">
        <v>845</v>
      </c>
      <c r="F757" s="19" t="s">
        <v>869</v>
      </c>
      <c r="G757" s="19" t="s">
        <v>893</v>
      </c>
      <c r="H757" s="19" t="s">
        <v>917</v>
      </c>
      <c r="I757" s="19" t="s">
        <v>989</v>
      </c>
      <c r="J757" s="19" t="s">
        <v>1004</v>
      </c>
      <c r="K757" s="24">
        <v>46237</v>
      </c>
      <c r="L757" s="19"/>
      <c r="M757" s="19"/>
      <c r="N757" s="21">
        <v>0</v>
      </c>
      <c r="O757" s="23">
        <v>1082.58</v>
      </c>
      <c r="P757" s="19" t="s">
        <v>1016</v>
      </c>
      <c r="Q757" s="20">
        <v>1</v>
      </c>
      <c r="R757" s="19" t="s">
        <v>1021</v>
      </c>
      <c r="S757" s="19"/>
    </row>
    <row r="758" spans="1:19">
      <c r="A758" s="19" t="s">
        <v>757</v>
      </c>
      <c r="B758" s="19" t="s">
        <v>823</v>
      </c>
      <c r="C758" s="19" t="s">
        <v>828</v>
      </c>
      <c r="D758" s="20">
        <v>0</v>
      </c>
      <c r="E758" s="19" t="s">
        <v>843</v>
      </c>
      <c r="F758" s="19" t="s">
        <v>867</v>
      </c>
      <c r="G758" s="19" t="s">
        <v>891</v>
      </c>
      <c r="H758" s="19" t="s">
        <v>917</v>
      </c>
      <c r="I758" s="19" t="s">
        <v>989</v>
      </c>
      <c r="J758" s="19" t="s">
        <v>1004</v>
      </c>
      <c r="K758" s="24">
        <v>46237</v>
      </c>
      <c r="L758" s="19"/>
      <c r="M758" s="19"/>
      <c r="N758" s="21">
        <v>0</v>
      </c>
      <c r="O758" s="23">
        <v>319.04</v>
      </c>
      <c r="P758" s="19" t="s">
        <v>1015</v>
      </c>
      <c r="Q758" s="20">
        <v>0</v>
      </c>
      <c r="R758" s="19" t="s">
        <v>1021</v>
      </c>
      <c r="S758" s="19"/>
    </row>
    <row r="759" spans="1:19">
      <c r="A759" s="19" t="s">
        <v>758</v>
      </c>
      <c r="B759" s="19" t="s">
        <v>824</v>
      </c>
      <c r="C759" s="19" t="s">
        <v>829</v>
      </c>
      <c r="D759" s="20">
        <v>0</v>
      </c>
      <c r="E759" s="19" t="s">
        <v>843</v>
      </c>
      <c r="F759" s="19" t="s">
        <v>867</v>
      </c>
      <c r="G759" s="19" t="s">
        <v>891</v>
      </c>
      <c r="H759" s="19" t="s">
        <v>925</v>
      </c>
      <c r="I759" s="19" t="s">
        <v>989</v>
      </c>
      <c r="J759" s="19" t="s">
        <v>1004</v>
      </c>
      <c r="K759" s="24">
        <v>46237</v>
      </c>
      <c r="L759" s="19"/>
      <c r="M759" s="19"/>
      <c r="N759" s="21">
        <v>0</v>
      </c>
      <c r="O759" s="23">
        <v>88</v>
      </c>
      <c r="P759" s="19" t="s">
        <v>1016</v>
      </c>
      <c r="Q759" s="20">
        <v>1</v>
      </c>
      <c r="R759" s="19" t="s">
        <v>1021</v>
      </c>
      <c r="S759" s="19"/>
    </row>
    <row r="760" spans="1:19">
      <c r="A760" s="19" t="s">
        <v>759</v>
      </c>
      <c r="B760" s="19" t="s">
        <v>824</v>
      </c>
      <c r="C760" s="19" t="s">
        <v>829</v>
      </c>
      <c r="D760" s="20">
        <v>0</v>
      </c>
      <c r="E760" s="19" t="s">
        <v>851</v>
      </c>
      <c r="F760" s="19" t="s">
        <v>875</v>
      </c>
      <c r="G760" s="19" t="s">
        <v>899</v>
      </c>
      <c r="H760" s="19" t="s">
        <v>908</v>
      </c>
      <c r="I760" s="19" t="s">
        <v>989</v>
      </c>
      <c r="J760" s="19" t="s">
        <v>1004</v>
      </c>
      <c r="K760" s="24">
        <v>46237</v>
      </c>
      <c r="L760" s="19"/>
      <c r="M760" s="19"/>
      <c r="N760" s="21">
        <v>0</v>
      </c>
      <c r="O760" s="23">
        <v>180</v>
      </c>
      <c r="P760" s="19" t="s">
        <v>1014</v>
      </c>
      <c r="Q760" s="20">
        <v>0</v>
      </c>
      <c r="R760" s="19" t="s">
        <v>1023</v>
      </c>
      <c r="S760" s="19"/>
    </row>
    <row r="761" spans="1:19">
      <c r="A761" s="19" t="s">
        <v>760</v>
      </c>
      <c r="B761" s="19" t="s">
        <v>823</v>
      </c>
      <c r="C761" s="19" t="s">
        <v>828</v>
      </c>
      <c r="D761" s="20">
        <v>0</v>
      </c>
      <c r="E761" s="19" t="s">
        <v>841</v>
      </c>
      <c r="F761" s="19" t="s">
        <v>865</v>
      </c>
      <c r="G761" s="19" t="s">
        <v>889</v>
      </c>
      <c r="H761" s="19" t="s">
        <v>906</v>
      </c>
      <c r="I761" s="19" t="s">
        <v>989</v>
      </c>
      <c r="J761" s="19" t="s">
        <v>1004</v>
      </c>
      <c r="K761" s="24">
        <v>46239</v>
      </c>
      <c r="L761" s="19"/>
      <c r="M761" s="19"/>
      <c r="N761" s="21">
        <v>0</v>
      </c>
      <c r="O761" s="23">
        <v>2109.44</v>
      </c>
      <c r="P761" s="19" t="s">
        <v>1015</v>
      </c>
      <c r="Q761" s="20">
        <v>0</v>
      </c>
      <c r="R761" s="19" t="s">
        <v>1021</v>
      </c>
      <c r="S761" s="19"/>
    </row>
    <row r="762" spans="1:19">
      <c r="A762" s="19" t="s">
        <v>761</v>
      </c>
      <c r="B762" s="19" t="s">
        <v>823</v>
      </c>
      <c r="C762" s="19" t="s">
        <v>828</v>
      </c>
      <c r="D762" s="20">
        <v>0</v>
      </c>
      <c r="E762" s="19" t="s">
        <v>836</v>
      </c>
      <c r="F762" s="19" t="s">
        <v>860</v>
      </c>
      <c r="G762" s="19" t="s">
        <v>884</v>
      </c>
      <c r="H762" s="19" t="s">
        <v>907</v>
      </c>
      <c r="I762" s="19" t="s">
        <v>989</v>
      </c>
      <c r="J762" s="19" t="s">
        <v>1004</v>
      </c>
      <c r="K762" s="24">
        <v>46239</v>
      </c>
      <c r="L762" s="19"/>
      <c r="M762" s="19"/>
      <c r="N762" s="21">
        <v>0</v>
      </c>
      <c r="O762" s="23">
        <v>239.85</v>
      </c>
      <c r="P762" s="19" t="s">
        <v>1016</v>
      </c>
      <c r="Q762" s="20">
        <v>1</v>
      </c>
      <c r="R762" s="19" t="s">
        <v>1023</v>
      </c>
      <c r="S762" s="19"/>
    </row>
    <row r="763" spans="1:19">
      <c r="A763" s="19" t="s">
        <v>762</v>
      </c>
      <c r="B763" s="19" t="s">
        <v>823</v>
      </c>
      <c r="C763" s="19" t="s">
        <v>828</v>
      </c>
      <c r="D763" s="20">
        <v>0</v>
      </c>
      <c r="E763" s="19" t="s">
        <v>850</v>
      </c>
      <c r="F763" s="19" t="s">
        <v>874</v>
      </c>
      <c r="G763" s="19" t="s">
        <v>898</v>
      </c>
      <c r="H763" s="19" t="s">
        <v>924</v>
      </c>
      <c r="I763" s="19" t="s">
        <v>989</v>
      </c>
      <c r="J763" s="19" t="s">
        <v>1004</v>
      </c>
      <c r="K763" s="24">
        <v>46240</v>
      </c>
      <c r="L763" s="19"/>
      <c r="M763" s="19"/>
      <c r="N763" s="21">
        <v>0</v>
      </c>
      <c r="O763" s="23">
        <v>282.75</v>
      </c>
      <c r="P763" s="19" t="s">
        <v>1014</v>
      </c>
      <c r="Q763" s="20">
        <v>0</v>
      </c>
      <c r="R763" s="19" t="s">
        <v>1022</v>
      </c>
      <c r="S763" s="19"/>
    </row>
    <row r="764" spans="1:19">
      <c r="A764" s="19" t="s">
        <v>763</v>
      </c>
      <c r="B764" s="19" t="s">
        <v>823</v>
      </c>
      <c r="C764" s="19" t="s">
        <v>828</v>
      </c>
      <c r="D764" s="20">
        <v>0</v>
      </c>
      <c r="E764" s="19" t="s">
        <v>834</v>
      </c>
      <c r="F764" s="19" t="s">
        <v>858</v>
      </c>
      <c r="G764" s="19" t="s">
        <v>882</v>
      </c>
      <c r="H764" s="19" t="s">
        <v>907</v>
      </c>
      <c r="I764" s="19" t="s">
        <v>989</v>
      </c>
      <c r="J764" s="19" t="s">
        <v>1004</v>
      </c>
      <c r="K764" s="24">
        <v>46241</v>
      </c>
      <c r="L764" s="19"/>
      <c r="M764" s="19"/>
      <c r="N764" s="21">
        <v>0</v>
      </c>
      <c r="O764" s="23">
        <v>348.42</v>
      </c>
      <c r="P764" s="19" t="s">
        <v>1014</v>
      </c>
      <c r="Q764" s="20">
        <v>0</v>
      </c>
      <c r="R764" s="19" t="s">
        <v>1023</v>
      </c>
      <c r="S764" s="19"/>
    </row>
    <row r="765" spans="1:19">
      <c r="A765" s="19" t="s">
        <v>764</v>
      </c>
      <c r="B765" s="19" t="s">
        <v>823</v>
      </c>
      <c r="C765" s="19" t="s">
        <v>828</v>
      </c>
      <c r="D765" s="20">
        <v>0</v>
      </c>
      <c r="E765" s="19" t="s">
        <v>842</v>
      </c>
      <c r="F765" s="19" t="s">
        <v>866</v>
      </c>
      <c r="G765" s="19" t="s">
        <v>890</v>
      </c>
      <c r="H765" s="19" t="s">
        <v>909</v>
      </c>
      <c r="I765" s="19" t="s">
        <v>989</v>
      </c>
      <c r="J765" s="19" t="s">
        <v>1004</v>
      </c>
      <c r="K765" s="24">
        <v>46241</v>
      </c>
      <c r="L765" s="19"/>
      <c r="M765" s="19"/>
      <c r="N765" s="21">
        <v>0</v>
      </c>
      <c r="O765" s="23">
        <v>1245.65</v>
      </c>
      <c r="P765" s="19" t="s">
        <v>1014</v>
      </c>
      <c r="Q765" s="20">
        <v>0</v>
      </c>
      <c r="R765" s="19" t="s">
        <v>1022</v>
      </c>
      <c r="S765" s="19"/>
    </row>
    <row r="766" spans="1:19">
      <c r="A766" s="19" t="s">
        <v>765</v>
      </c>
      <c r="B766" s="19" t="s">
        <v>824</v>
      </c>
      <c r="C766" s="19" t="s">
        <v>829</v>
      </c>
      <c r="D766" s="20">
        <v>0</v>
      </c>
      <c r="E766" s="19" t="s">
        <v>834</v>
      </c>
      <c r="F766" s="19" t="s">
        <v>858</v>
      </c>
      <c r="G766" s="19" t="s">
        <v>882</v>
      </c>
      <c r="H766" s="19" t="s">
        <v>914</v>
      </c>
      <c r="I766" s="19" t="s">
        <v>989</v>
      </c>
      <c r="J766" s="19" t="s">
        <v>1004</v>
      </c>
      <c r="K766" s="24">
        <v>46241</v>
      </c>
      <c r="L766" s="19"/>
      <c r="M766" s="19"/>
      <c r="N766" s="21">
        <v>0</v>
      </c>
      <c r="O766" s="23">
        <v>120</v>
      </c>
      <c r="P766" s="19" t="s">
        <v>1016</v>
      </c>
      <c r="Q766" s="20">
        <v>1</v>
      </c>
      <c r="R766" s="19" t="s">
        <v>1022</v>
      </c>
      <c r="S766" s="19"/>
    </row>
    <row r="767" spans="1:19">
      <c r="A767" s="19" t="s">
        <v>766</v>
      </c>
      <c r="B767" s="19" t="s">
        <v>823</v>
      </c>
      <c r="C767" s="19" t="s">
        <v>828</v>
      </c>
      <c r="D767" s="20">
        <v>0</v>
      </c>
      <c r="E767" s="19" t="s">
        <v>852</v>
      </c>
      <c r="F767" s="19" t="s">
        <v>876</v>
      </c>
      <c r="G767" s="19" t="s">
        <v>900</v>
      </c>
      <c r="H767" s="19" t="s">
        <v>907</v>
      </c>
      <c r="I767" s="19" t="s">
        <v>989</v>
      </c>
      <c r="J767" s="19" t="s">
        <v>1004</v>
      </c>
      <c r="K767" s="24">
        <v>46242</v>
      </c>
      <c r="L767" s="19"/>
      <c r="M767" s="19"/>
      <c r="N767" s="21">
        <v>0</v>
      </c>
      <c r="O767" s="23">
        <v>466.33</v>
      </c>
      <c r="P767" s="19" t="s">
        <v>1014</v>
      </c>
      <c r="Q767" s="20">
        <v>0</v>
      </c>
      <c r="R767" s="19" t="s">
        <v>1021</v>
      </c>
      <c r="S767" s="19"/>
    </row>
    <row r="768" spans="1:19">
      <c r="A768" s="19" t="s">
        <v>767</v>
      </c>
      <c r="B768" s="19" t="s">
        <v>824</v>
      </c>
      <c r="C768" s="19" t="s">
        <v>829</v>
      </c>
      <c r="D768" s="20">
        <v>0</v>
      </c>
      <c r="E768" s="19" t="s">
        <v>852</v>
      </c>
      <c r="F768" s="19" t="s">
        <v>876</v>
      </c>
      <c r="G768" s="19" t="s">
        <v>900</v>
      </c>
      <c r="H768" s="19" t="s">
        <v>914</v>
      </c>
      <c r="I768" s="19" t="s">
        <v>989</v>
      </c>
      <c r="J768" s="19" t="s">
        <v>1004</v>
      </c>
      <c r="K768" s="24">
        <v>46242</v>
      </c>
      <c r="L768" s="19"/>
      <c r="M768" s="19"/>
      <c r="N768" s="21">
        <v>0</v>
      </c>
      <c r="O768" s="23">
        <v>280</v>
      </c>
      <c r="P768" s="19" t="s">
        <v>1015</v>
      </c>
      <c r="Q768" s="20">
        <v>0</v>
      </c>
      <c r="R768" s="19" t="s">
        <v>1022</v>
      </c>
      <c r="S768" s="19"/>
    </row>
    <row r="769" spans="1:19">
      <c r="A769" s="19" t="s">
        <v>768</v>
      </c>
      <c r="B769" s="19" t="s">
        <v>826</v>
      </c>
      <c r="C769" s="19" t="s">
        <v>831</v>
      </c>
      <c r="D769" s="20">
        <v>1</v>
      </c>
      <c r="E769" s="19" t="s">
        <v>842</v>
      </c>
      <c r="F769" s="19" t="s">
        <v>866</v>
      </c>
      <c r="G769" s="19" t="s">
        <v>890</v>
      </c>
      <c r="H769" s="19" t="s">
        <v>930</v>
      </c>
      <c r="I769" s="19" t="s">
        <v>998</v>
      </c>
      <c r="J769" s="19" t="s">
        <v>1006</v>
      </c>
      <c r="K769" s="24">
        <v>46243</v>
      </c>
      <c r="L769" s="26">
        <v>46243.35347222222</v>
      </c>
      <c r="M769" s="26">
        <v>46243.72013888889</v>
      </c>
      <c r="N769" s="21">
        <v>8.800000000000001</v>
      </c>
      <c r="O769" s="23">
        <v>10594.53</v>
      </c>
      <c r="P769" s="19" t="s">
        <v>1016</v>
      </c>
      <c r="Q769" s="20">
        <v>1</v>
      </c>
      <c r="R769" s="19" t="s">
        <v>1024</v>
      </c>
      <c r="S769" s="19"/>
    </row>
    <row r="770" spans="1:19">
      <c r="A770" s="19" t="s">
        <v>769</v>
      </c>
      <c r="B770" s="19" t="s">
        <v>824</v>
      </c>
      <c r="C770" s="19" t="s">
        <v>829</v>
      </c>
      <c r="D770" s="20">
        <v>0</v>
      </c>
      <c r="E770" s="19" t="s">
        <v>850</v>
      </c>
      <c r="F770" s="19" t="s">
        <v>874</v>
      </c>
      <c r="G770" s="19" t="s">
        <v>898</v>
      </c>
      <c r="H770" s="19" t="s">
        <v>914</v>
      </c>
      <c r="I770" s="19" t="s">
        <v>989</v>
      </c>
      <c r="J770" s="19" t="s">
        <v>1004</v>
      </c>
      <c r="K770" s="24">
        <v>46244</v>
      </c>
      <c r="L770" s="19"/>
      <c r="M770" s="19"/>
      <c r="N770" s="21">
        <v>0</v>
      </c>
      <c r="O770" s="23">
        <v>100</v>
      </c>
      <c r="P770" s="19" t="s">
        <v>1014</v>
      </c>
      <c r="Q770" s="20">
        <v>0</v>
      </c>
      <c r="R770" s="19" t="s">
        <v>1021</v>
      </c>
      <c r="S770" s="19"/>
    </row>
    <row r="771" spans="1:19">
      <c r="A771" s="19" t="s">
        <v>770</v>
      </c>
      <c r="B771" s="19" t="s">
        <v>826</v>
      </c>
      <c r="C771" s="19" t="s">
        <v>831</v>
      </c>
      <c r="D771" s="20">
        <v>1</v>
      </c>
      <c r="E771" s="19" t="s">
        <v>848</v>
      </c>
      <c r="F771" s="19" t="s">
        <v>872</v>
      </c>
      <c r="G771" s="19" t="s">
        <v>896</v>
      </c>
      <c r="H771" s="19" t="s">
        <v>930</v>
      </c>
      <c r="I771" s="19" t="s">
        <v>998</v>
      </c>
      <c r="J771" s="19" t="s">
        <v>1006</v>
      </c>
      <c r="K771" s="24">
        <v>46244</v>
      </c>
      <c r="L771" s="26">
        <v>46244.83680555555</v>
      </c>
      <c r="M771" s="26">
        <v>46245.53263888889</v>
      </c>
      <c r="N771" s="21">
        <v>16.7</v>
      </c>
      <c r="O771" s="23">
        <v>17399.12</v>
      </c>
      <c r="P771" s="19" t="s">
        <v>1014</v>
      </c>
      <c r="Q771" s="20">
        <v>0</v>
      </c>
      <c r="R771" s="19" t="s">
        <v>1022</v>
      </c>
      <c r="S771" s="19"/>
    </row>
    <row r="772" spans="1:19">
      <c r="A772" s="19" t="s">
        <v>771</v>
      </c>
      <c r="B772" s="19" t="s">
        <v>823</v>
      </c>
      <c r="C772" s="19" t="s">
        <v>828</v>
      </c>
      <c r="D772" s="20">
        <v>0</v>
      </c>
      <c r="E772" s="19" t="s">
        <v>839</v>
      </c>
      <c r="F772" s="19" t="s">
        <v>863</v>
      </c>
      <c r="G772" s="19" t="s">
        <v>887</v>
      </c>
      <c r="H772" s="19" t="s">
        <v>909</v>
      </c>
      <c r="I772" s="19" t="s">
        <v>989</v>
      </c>
      <c r="J772" s="19" t="s">
        <v>1004</v>
      </c>
      <c r="K772" s="24">
        <v>46245</v>
      </c>
      <c r="L772" s="19"/>
      <c r="M772" s="19"/>
      <c r="N772" s="21">
        <v>0</v>
      </c>
      <c r="O772" s="23">
        <v>607.11</v>
      </c>
      <c r="P772" s="19" t="s">
        <v>1014</v>
      </c>
      <c r="Q772" s="20">
        <v>0</v>
      </c>
      <c r="R772" s="19" t="s">
        <v>1022</v>
      </c>
      <c r="S772" s="19"/>
    </row>
    <row r="773" spans="1:19">
      <c r="A773" s="19" t="s">
        <v>772</v>
      </c>
      <c r="B773" s="19" t="s">
        <v>826</v>
      </c>
      <c r="C773" s="19" t="s">
        <v>831</v>
      </c>
      <c r="D773" s="20">
        <v>1</v>
      </c>
      <c r="E773" s="19" t="s">
        <v>853</v>
      </c>
      <c r="F773" s="19" t="s">
        <v>877</v>
      </c>
      <c r="G773" s="19" t="s">
        <v>901</v>
      </c>
      <c r="H773" s="19" t="s">
        <v>942</v>
      </c>
      <c r="I773" s="19" t="s">
        <v>990</v>
      </c>
      <c r="J773" s="19" t="s">
        <v>1006</v>
      </c>
      <c r="K773" s="24">
        <v>46246</v>
      </c>
      <c r="L773" s="26">
        <v>46246.51875</v>
      </c>
      <c r="M773" s="26">
        <v>46246.95625</v>
      </c>
      <c r="N773" s="21">
        <v>10.5</v>
      </c>
      <c r="O773" s="23">
        <v>4255.98</v>
      </c>
      <c r="P773" s="19" t="s">
        <v>1016</v>
      </c>
      <c r="Q773" s="20">
        <v>1</v>
      </c>
      <c r="R773" s="19" t="s">
        <v>1022</v>
      </c>
      <c r="S773" s="19"/>
    </row>
    <row r="774" spans="1:19">
      <c r="A774" s="19" t="s">
        <v>773</v>
      </c>
      <c r="B774" s="19" t="s">
        <v>823</v>
      </c>
      <c r="C774" s="19" t="s">
        <v>828</v>
      </c>
      <c r="D774" s="20">
        <v>0</v>
      </c>
      <c r="E774" s="19" t="s">
        <v>846</v>
      </c>
      <c r="F774" s="19" t="s">
        <v>870</v>
      </c>
      <c r="G774" s="19" t="s">
        <v>894</v>
      </c>
      <c r="H774" s="19" t="s">
        <v>911</v>
      </c>
      <c r="I774" s="19" t="s">
        <v>989</v>
      </c>
      <c r="J774" s="19" t="s">
        <v>1004</v>
      </c>
      <c r="K774" s="24">
        <v>46247</v>
      </c>
      <c r="L774" s="19"/>
      <c r="M774" s="19"/>
      <c r="N774" s="21">
        <v>0</v>
      </c>
      <c r="O774" s="23">
        <v>364.79</v>
      </c>
      <c r="P774" s="19" t="s">
        <v>1016</v>
      </c>
      <c r="Q774" s="20">
        <v>1</v>
      </c>
      <c r="R774" s="19" t="s">
        <v>1022</v>
      </c>
      <c r="S774" s="19"/>
    </row>
    <row r="775" spans="1:19">
      <c r="A775" s="19" t="s">
        <v>774</v>
      </c>
      <c r="B775" s="19" t="s">
        <v>823</v>
      </c>
      <c r="C775" s="19" t="s">
        <v>828</v>
      </c>
      <c r="D775" s="20">
        <v>0</v>
      </c>
      <c r="E775" s="19" t="s">
        <v>849</v>
      </c>
      <c r="F775" s="19" t="s">
        <v>873</v>
      </c>
      <c r="G775" s="19" t="s">
        <v>897</v>
      </c>
      <c r="H775" s="19" t="s">
        <v>912</v>
      </c>
      <c r="I775" s="19" t="s">
        <v>989</v>
      </c>
      <c r="J775" s="19" t="s">
        <v>1004</v>
      </c>
      <c r="K775" s="24">
        <v>46247</v>
      </c>
      <c r="L775" s="19"/>
      <c r="M775" s="19"/>
      <c r="N775" s="21">
        <v>0</v>
      </c>
      <c r="O775" s="23">
        <v>1367.62</v>
      </c>
      <c r="P775" s="19" t="s">
        <v>1014</v>
      </c>
      <c r="Q775" s="20">
        <v>0</v>
      </c>
      <c r="R775" s="19" t="s">
        <v>1023</v>
      </c>
      <c r="S775" s="19"/>
    </row>
    <row r="776" spans="1:19">
      <c r="A776" s="19" t="s">
        <v>775</v>
      </c>
      <c r="B776" s="19" t="s">
        <v>824</v>
      </c>
      <c r="C776" s="19" t="s">
        <v>829</v>
      </c>
      <c r="D776" s="20">
        <v>0</v>
      </c>
      <c r="E776" s="19" t="s">
        <v>844</v>
      </c>
      <c r="F776" s="19" t="s">
        <v>868</v>
      </c>
      <c r="G776" s="19" t="s">
        <v>892</v>
      </c>
      <c r="H776" s="19" t="s">
        <v>908</v>
      </c>
      <c r="I776" s="19" t="s">
        <v>989</v>
      </c>
      <c r="J776" s="19" t="s">
        <v>1004</v>
      </c>
      <c r="K776" s="24">
        <v>46247</v>
      </c>
      <c r="L776" s="19"/>
      <c r="M776" s="19"/>
      <c r="N776" s="21">
        <v>0</v>
      </c>
      <c r="O776" s="23">
        <v>140</v>
      </c>
      <c r="P776" s="19" t="s">
        <v>1014</v>
      </c>
      <c r="Q776" s="20">
        <v>0</v>
      </c>
      <c r="R776" s="19" t="s">
        <v>1023</v>
      </c>
      <c r="S776" s="19"/>
    </row>
    <row r="777" spans="1:19">
      <c r="A777" s="19" t="s">
        <v>776</v>
      </c>
      <c r="B777" s="19" t="s">
        <v>823</v>
      </c>
      <c r="C777" s="19" t="s">
        <v>828</v>
      </c>
      <c r="D777" s="20">
        <v>0</v>
      </c>
      <c r="E777" s="19" t="s">
        <v>848</v>
      </c>
      <c r="F777" s="19" t="s">
        <v>872</v>
      </c>
      <c r="G777" s="19" t="s">
        <v>896</v>
      </c>
      <c r="H777" s="19" t="s">
        <v>909</v>
      </c>
      <c r="I777" s="19" t="s">
        <v>989</v>
      </c>
      <c r="J777" s="19" t="s">
        <v>1004</v>
      </c>
      <c r="K777" s="24">
        <v>46248</v>
      </c>
      <c r="L777" s="19"/>
      <c r="M777" s="19"/>
      <c r="N777" s="21">
        <v>0</v>
      </c>
      <c r="O777" s="23">
        <v>1778.89</v>
      </c>
      <c r="P777" s="19" t="s">
        <v>1015</v>
      </c>
      <c r="Q777" s="20">
        <v>0</v>
      </c>
      <c r="R777" s="19" t="s">
        <v>1022</v>
      </c>
      <c r="S777" s="19"/>
    </row>
    <row r="778" spans="1:19">
      <c r="A778" s="19" t="s">
        <v>777</v>
      </c>
      <c r="B778" s="19" t="s">
        <v>823</v>
      </c>
      <c r="C778" s="19" t="s">
        <v>828</v>
      </c>
      <c r="D778" s="20">
        <v>0</v>
      </c>
      <c r="E778" s="19" t="s">
        <v>853</v>
      </c>
      <c r="F778" s="19" t="s">
        <v>877</v>
      </c>
      <c r="G778" s="19" t="s">
        <v>901</v>
      </c>
      <c r="H778" s="19" t="s">
        <v>924</v>
      </c>
      <c r="I778" s="19" t="s">
        <v>989</v>
      </c>
      <c r="J778" s="19" t="s">
        <v>1004</v>
      </c>
      <c r="K778" s="24">
        <v>46249</v>
      </c>
      <c r="L778" s="19"/>
      <c r="M778" s="19"/>
      <c r="N778" s="21">
        <v>0</v>
      </c>
      <c r="O778" s="23">
        <v>481.45</v>
      </c>
      <c r="P778" s="19" t="s">
        <v>1014</v>
      </c>
      <c r="Q778" s="20">
        <v>0</v>
      </c>
      <c r="R778" s="19" t="s">
        <v>1023</v>
      </c>
      <c r="S778" s="19"/>
    </row>
    <row r="779" spans="1:19">
      <c r="A779" s="19" t="s">
        <v>778</v>
      </c>
      <c r="B779" s="19" t="s">
        <v>826</v>
      </c>
      <c r="C779" s="19" t="s">
        <v>831</v>
      </c>
      <c r="D779" s="20">
        <v>1</v>
      </c>
      <c r="E779" s="19" t="s">
        <v>843</v>
      </c>
      <c r="F779" s="19" t="s">
        <v>867</v>
      </c>
      <c r="G779" s="19" t="s">
        <v>891</v>
      </c>
      <c r="H779" s="19" t="s">
        <v>981</v>
      </c>
      <c r="I779" s="19" t="s">
        <v>1000</v>
      </c>
      <c r="J779" s="19" t="s">
        <v>1006</v>
      </c>
      <c r="K779" s="24">
        <v>46250</v>
      </c>
      <c r="L779" s="26">
        <v>46250.125</v>
      </c>
      <c r="M779" s="26">
        <v>46250.39583333334</v>
      </c>
      <c r="N779" s="21">
        <v>6.5</v>
      </c>
      <c r="O779" s="23">
        <v>3100</v>
      </c>
      <c r="P779" s="19" t="s">
        <v>1016</v>
      </c>
      <c r="Q779" s="20">
        <v>1</v>
      </c>
      <c r="R779" s="19" t="s">
        <v>1022</v>
      </c>
      <c r="S779" s="19"/>
    </row>
    <row r="780" spans="1:19">
      <c r="A780" s="19" t="s">
        <v>779</v>
      </c>
      <c r="B780" s="19" t="s">
        <v>823</v>
      </c>
      <c r="C780" s="19" t="s">
        <v>828</v>
      </c>
      <c r="D780" s="20">
        <v>0</v>
      </c>
      <c r="E780" s="19" t="s">
        <v>856</v>
      </c>
      <c r="F780" s="19" t="s">
        <v>880</v>
      </c>
      <c r="G780" s="19" t="s">
        <v>904</v>
      </c>
      <c r="H780" s="19" t="s">
        <v>909</v>
      </c>
      <c r="I780" s="19" t="s">
        <v>989</v>
      </c>
      <c r="J780" s="19" t="s">
        <v>1004</v>
      </c>
      <c r="K780" s="24">
        <v>46250</v>
      </c>
      <c r="L780" s="19"/>
      <c r="M780" s="19"/>
      <c r="N780" s="21">
        <v>0</v>
      </c>
      <c r="O780" s="23">
        <v>203.81</v>
      </c>
      <c r="P780" s="19" t="s">
        <v>1014</v>
      </c>
      <c r="Q780" s="20">
        <v>0</v>
      </c>
      <c r="R780" s="19" t="s">
        <v>1021</v>
      </c>
      <c r="S780" s="19"/>
    </row>
    <row r="781" spans="1:19">
      <c r="A781" s="19" t="s">
        <v>780</v>
      </c>
      <c r="B781" s="19" t="s">
        <v>823</v>
      </c>
      <c r="C781" s="19" t="s">
        <v>828</v>
      </c>
      <c r="D781" s="20">
        <v>0</v>
      </c>
      <c r="E781" s="19" t="s">
        <v>851</v>
      </c>
      <c r="F781" s="19" t="s">
        <v>875</v>
      </c>
      <c r="G781" s="19" t="s">
        <v>899</v>
      </c>
      <c r="H781" s="19" t="s">
        <v>907</v>
      </c>
      <c r="I781" s="19" t="s">
        <v>989</v>
      </c>
      <c r="J781" s="19" t="s">
        <v>1004</v>
      </c>
      <c r="K781" s="24">
        <v>46250</v>
      </c>
      <c r="L781" s="19"/>
      <c r="M781" s="19"/>
      <c r="N781" s="21">
        <v>0</v>
      </c>
      <c r="O781" s="23">
        <v>423.63</v>
      </c>
      <c r="P781" s="19" t="s">
        <v>1014</v>
      </c>
      <c r="Q781" s="20">
        <v>0</v>
      </c>
      <c r="R781" s="19" t="s">
        <v>1021</v>
      </c>
      <c r="S781" s="19"/>
    </row>
    <row r="782" spans="1:19">
      <c r="A782" s="19" t="s">
        <v>781</v>
      </c>
      <c r="B782" s="19" t="s">
        <v>823</v>
      </c>
      <c r="C782" s="19" t="s">
        <v>828</v>
      </c>
      <c r="D782" s="20">
        <v>0</v>
      </c>
      <c r="E782" s="19" t="s">
        <v>838</v>
      </c>
      <c r="F782" s="19" t="s">
        <v>862</v>
      </c>
      <c r="G782" s="19" t="s">
        <v>886</v>
      </c>
      <c r="H782" s="19" t="s">
        <v>909</v>
      </c>
      <c r="I782" s="19" t="s">
        <v>989</v>
      </c>
      <c r="J782" s="19" t="s">
        <v>1004</v>
      </c>
      <c r="K782" s="24">
        <v>46251</v>
      </c>
      <c r="L782" s="19"/>
      <c r="M782" s="19"/>
      <c r="N782" s="21">
        <v>0</v>
      </c>
      <c r="O782" s="23">
        <v>278.57</v>
      </c>
      <c r="P782" s="19" t="s">
        <v>1015</v>
      </c>
      <c r="Q782" s="20">
        <v>0</v>
      </c>
      <c r="R782" s="19" t="s">
        <v>1023</v>
      </c>
      <c r="S782" s="19"/>
    </row>
    <row r="783" spans="1:19">
      <c r="A783" s="19" t="s">
        <v>782</v>
      </c>
      <c r="B783" s="19" t="s">
        <v>823</v>
      </c>
      <c r="C783" s="19" t="s">
        <v>828</v>
      </c>
      <c r="D783" s="20">
        <v>0</v>
      </c>
      <c r="E783" s="19" t="s">
        <v>837</v>
      </c>
      <c r="F783" s="19" t="s">
        <v>861</v>
      </c>
      <c r="G783" s="19" t="s">
        <v>885</v>
      </c>
      <c r="H783" s="19" t="s">
        <v>907</v>
      </c>
      <c r="I783" s="19" t="s">
        <v>989</v>
      </c>
      <c r="J783" s="19" t="s">
        <v>1004</v>
      </c>
      <c r="K783" s="24">
        <v>46252</v>
      </c>
      <c r="L783" s="19"/>
      <c r="M783" s="19"/>
      <c r="N783" s="21">
        <v>0</v>
      </c>
      <c r="O783" s="23">
        <v>806.0700000000001</v>
      </c>
      <c r="P783" s="19" t="s">
        <v>1016</v>
      </c>
      <c r="Q783" s="20">
        <v>1</v>
      </c>
      <c r="R783" s="19" t="s">
        <v>1022</v>
      </c>
      <c r="S783" s="19"/>
    </row>
    <row r="784" spans="1:19">
      <c r="A784" s="19" t="s">
        <v>783</v>
      </c>
      <c r="B784" s="19" t="s">
        <v>823</v>
      </c>
      <c r="C784" s="19" t="s">
        <v>828</v>
      </c>
      <c r="D784" s="20">
        <v>0</v>
      </c>
      <c r="E784" s="19" t="s">
        <v>835</v>
      </c>
      <c r="F784" s="19" t="s">
        <v>859</v>
      </c>
      <c r="G784" s="19" t="s">
        <v>883</v>
      </c>
      <c r="H784" s="19" t="s">
        <v>917</v>
      </c>
      <c r="I784" s="19" t="s">
        <v>989</v>
      </c>
      <c r="J784" s="19" t="s">
        <v>1004</v>
      </c>
      <c r="K784" s="24">
        <v>46252</v>
      </c>
      <c r="L784" s="19"/>
      <c r="M784" s="19"/>
      <c r="N784" s="21">
        <v>0</v>
      </c>
      <c r="O784" s="23">
        <v>319.86</v>
      </c>
      <c r="P784" s="19" t="s">
        <v>1016</v>
      </c>
      <c r="Q784" s="20">
        <v>1</v>
      </c>
      <c r="R784" s="19" t="s">
        <v>1023</v>
      </c>
      <c r="S784" s="19"/>
    </row>
    <row r="785" spans="1:19">
      <c r="A785" s="19" t="s">
        <v>784</v>
      </c>
      <c r="B785" s="19" t="s">
        <v>823</v>
      </c>
      <c r="C785" s="19" t="s">
        <v>828</v>
      </c>
      <c r="D785" s="20">
        <v>0</v>
      </c>
      <c r="E785" s="19" t="s">
        <v>854</v>
      </c>
      <c r="F785" s="19" t="s">
        <v>878</v>
      </c>
      <c r="G785" s="19" t="s">
        <v>902</v>
      </c>
      <c r="H785" s="19" t="s">
        <v>924</v>
      </c>
      <c r="I785" s="19" t="s">
        <v>989</v>
      </c>
      <c r="J785" s="19" t="s">
        <v>1004</v>
      </c>
      <c r="K785" s="24">
        <v>46253</v>
      </c>
      <c r="L785" s="19"/>
      <c r="M785" s="19"/>
      <c r="N785" s="21">
        <v>0</v>
      </c>
      <c r="O785" s="23">
        <v>488.74</v>
      </c>
      <c r="P785" s="19" t="s">
        <v>1016</v>
      </c>
      <c r="Q785" s="20">
        <v>1</v>
      </c>
      <c r="R785" s="19" t="s">
        <v>1022</v>
      </c>
      <c r="S785" s="19"/>
    </row>
    <row r="786" spans="1:19">
      <c r="A786" s="19" t="s">
        <v>785</v>
      </c>
      <c r="B786" s="19" t="s">
        <v>824</v>
      </c>
      <c r="C786" s="19" t="s">
        <v>829</v>
      </c>
      <c r="D786" s="20">
        <v>0</v>
      </c>
      <c r="E786" s="19" t="s">
        <v>848</v>
      </c>
      <c r="F786" s="19" t="s">
        <v>872</v>
      </c>
      <c r="G786" s="19" t="s">
        <v>896</v>
      </c>
      <c r="H786" s="19" t="s">
        <v>908</v>
      </c>
      <c r="I786" s="19" t="s">
        <v>989</v>
      </c>
      <c r="J786" s="19" t="s">
        <v>1004</v>
      </c>
      <c r="K786" s="24">
        <v>46253</v>
      </c>
      <c r="L786" s="19"/>
      <c r="M786" s="19"/>
      <c r="N786" s="21">
        <v>0</v>
      </c>
      <c r="O786" s="23">
        <v>600</v>
      </c>
      <c r="P786" s="19" t="s">
        <v>1014</v>
      </c>
      <c r="Q786" s="20">
        <v>0</v>
      </c>
      <c r="R786" s="19" t="s">
        <v>1022</v>
      </c>
      <c r="S786" s="19"/>
    </row>
    <row r="787" spans="1:19">
      <c r="A787" s="19" t="s">
        <v>786</v>
      </c>
      <c r="B787" s="19" t="s">
        <v>825</v>
      </c>
      <c r="C787" s="19" t="s">
        <v>830</v>
      </c>
      <c r="D787" s="20">
        <v>1</v>
      </c>
      <c r="E787" s="19" t="s">
        <v>839</v>
      </c>
      <c r="F787" s="19" t="s">
        <v>863</v>
      </c>
      <c r="G787" s="19" t="s">
        <v>887</v>
      </c>
      <c r="H787" s="19" t="s">
        <v>942</v>
      </c>
      <c r="I787" s="19" t="s">
        <v>990</v>
      </c>
      <c r="J787" s="19" t="s">
        <v>1006</v>
      </c>
      <c r="K787" s="24">
        <v>46254</v>
      </c>
      <c r="L787" s="26">
        <v>46254.48472222222</v>
      </c>
      <c r="M787" s="26">
        <v>46254.96388888889</v>
      </c>
      <c r="N787" s="21">
        <v>11.5</v>
      </c>
      <c r="O787" s="23">
        <v>2384.14</v>
      </c>
      <c r="P787" s="19" t="s">
        <v>1014</v>
      </c>
      <c r="Q787" s="20">
        <v>0</v>
      </c>
      <c r="R787" s="19" t="s">
        <v>1021</v>
      </c>
      <c r="S787" s="19"/>
    </row>
    <row r="788" spans="1:19">
      <c r="A788" s="19" t="s">
        <v>787</v>
      </c>
      <c r="B788" s="19" t="s">
        <v>823</v>
      </c>
      <c r="C788" s="19" t="s">
        <v>828</v>
      </c>
      <c r="D788" s="20">
        <v>0</v>
      </c>
      <c r="E788" s="19" t="s">
        <v>845</v>
      </c>
      <c r="F788" s="19" t="s">
        <v>869</v>
      </c>
      <c r="G788" s="19" t="s">
        <v>893</v>
      </c>
      <c r="H788" s="19" t="s">
        <v>907</v>
      </c>
      <c r="I788" s="19" t="s">
        <v>989</v>
      </c>
      <c r="J788" s="19" t="s">
        <v>1004</v>
      </c>
      <c r="K788" s="24">
        <v>46255</v>
      </c>
      <c r="L788" s="19"/>
      <c r="M788" s="19"/>
      <c r="N788" s="21">
        <v>0</v>
      </c>
      <c r="O788" s="23">
        <v>987.0700000000001</v>
      </c>
      <c r="P788" s="19" t="s">
        <v>1015</v>
      </c>
      <c r="Q788" s="20">
        <v>0</v>
      </c>
      <c r="R788" s="19" t="s">
        <v>1023</v>
      </c>
      <c r="S788" s="19"/>
    </row>
    <row r="789" spans="1:19">
      <c r="A789" s="19" t="s">
        <v>788</v>
      </c>
      <c r="B789" s="19" t="s">
        <v>823</v>
      </c>
      <c r="C789" s="19" t="s">
        <v>828</v>
      </c>
      <c r="D789" s="20">
        <v>0</v>
      </c>
      <c r="E789" s="19" t="s">
        <v>841</v>
      </c>
      <c r="F789" s="19" t="s">
        <v>865</v>
      </c>
      <c r="G789" s="19" t="s">
        <v>889</v>
      </c>
      <c r="H789" s="19" t="s">
        <v>909</v>
      </c>
      <c r="I789" s="19" t="s">
        <v>989</v>
      </c>
      <c r="J789" s="19" t="s">
        <v>1004</v>
      </c>
      <c r="K789" s="24">
        <v>46255</v>
      </c>
      <c r="L789" s="19"/>
      <c r="M789" s="19"/>
      <c r="N789" s="21">
        <v>0</v>
      </c>
      <c r="O789" s="23">
        <v>2432.78</v>
      </c>
      <c r="P789" s="19" t="s">
        <v>1014</v>
      </c>
      <c r="Q789" s="20">
        <v>0</v>
      </c>
      <c r="R789" s="19" t="s">
        <v>1021</v>
      </c>
      <c r="S789" s="19"/>
    </row>
    <row r="790" spans="1:19">
      <c r="A790" s="19" t="s">
        <v>789</v>
      </c>
      <c r="B790" s="19" t="s">
        <v>823</v>
      </c>
      <c r="C790" s="19" t="s">
        <v>828</v>
      </c>
      <c r="D790" s="20">
        <v>0</v>
      </c>
      <c r="E790" s="19" t="s">
        <v>842</v>
      </c>
      <c r="F790" s="19" t="s">
        <v>866</v>
      </c>
      <c r="G790" s="19" t="s">
        <v>890</v>
      </c>
      <c r="H790" s="19" t="s">
        <v>907</v>
      </c>
      <c r="I790" s="19" t="s">
        <v>989</v>
      </c>
      <c r="J790" s="19" t="s">
        <v>1004</v>
      </c>
      <c r="K790" s="24">
        <v>46255</v>
      </c>
      <c r="L790" s="19"/>
      <c r="M790" s="19"/>
      <c r="N790" s="21">
        <v>0</v>
      </c>
      <c r="O790" s="23">
        <v>757.5</v>
      </c>
      <c r="P790" s="19" t="s">
        <v>1015</v>
      </c>
      <c r="Q790" s="20">
        <v>0</v>
      </c>
      <c r="R790" s="19" t="s">
        <v>1023</v>
      </c>
      <c r="S790" s="19"/>
    </row>
    <row r="791" spans="1:19">
      <c r="A791" s="19" t="s">
        <v>790</v>
      </c>
      <c r="B791" s="19" t="s">
        <v>826</v>
      </c>
      <c r="C791" s="19" t="s">
        <v>831</v>
      </c>
      <c r="D791" s="20">
        <v>1</v>
      </c>
      <c r="E791" s="19" t="s">
        <v>848</v>
      </c>
      <c r="F791" s="19" t="s">
        <v>872</v>
      </c>
      <c r="G791" s="19" t="s">
        <v>896</v>
      </c>
      <c r="H791" s="19" t="s">
        <v>974</v>
      </c>
      <c r="I791" s="19" t="s">
        <v>1002</v>
      </c>
      <c r="J791" s="19" t="s">
        <v>1005</v>
      </c>
      <c r="K791" s="24">
        <v>46255</v>
      </c>
      <c r="L791" s="26">
        <v>46255.51041666666</v>
      </c>
      <c r="M791" s="26">
        <v>46256.44791666666</v>
      </c>
      <c r="N791" s="21">
        <v>22.5</v>
      </c>
      <c r="O791" s="23">
        <v>24751.98</v>
      </c>
      <c r="P791" s="19" t="s">
        <v>1015</v>
      </c>
      <c r="Q791" s="20">
        <v>0</v>
      </c>
      <c r="R791" s="19" t="s">
        <v>1024</v>
      </c>
      <c r="S791" s="19" t="s">
        <v>1037</v>
      </c>
    </row>
    <row r="792" spans="1:19">
      <c r="A792" s="19" t="s">
        <v>791</v>
      </c>
      <c r="B792" s="19" t="s">
        <v>826</v>
      </c>
      <c r="C792" s="19" t="s">
        <v>831</v>
      </c>
      <c r="D792" s="20">
        <v>1</v>
      </c>
      <c r="E792" s="19" t="s">
        <v>848</v>
      </c>
      <c r="F792" s="19" t="s">
        <v>872</v>
      </c>
      <c r="G792" s="19" t="s">
        <v>896</v>
      </c>
      <c r="H792" s="19" t="s">
        <v>987</v>
      </c>
      <c r="I792" s="19" t="s">
        <v>1002</v>
      </c>
      <c r="J792" s="19" t="s">
        <v>1006</v>
      </c>
      <c r="K792" s="24">
        <v>46256</v>
      </c>
      <c r="L792" s="26">
        <v>46256.19791666666</v>
      </c>
      <c r="M792" s="19"/>
      <c r="N792" s="21">
        <v>0</v>
      </c>
      <c r="O792" s="23">
        <v>12349.85</v>
      </c>
      <c r="P792" s="19" t="s">
        <v>1017</v>
      </c>
      <c r="Q792" s="20">
        <v>1</v>
      </c>
      <c r="R792" s="19" t="s">
        <v>1022</v>
      </c>
      <c r="S792" s="19"/>
    </row>
    <row r="793" spans="1:19">
      <c r="A793" s="19" t="s">
        <v>792</v>
      </c>
      <c r="B793" s="19" t="s">
        <v>823</v>
      </c>
      <c r="C793" s="19" t="s">
        <v>828</v>
      </c>
      <c r="D793" s="20">
        <v>0</v>
      </c>
      <c r="E793" s="19" t="s">
        <v>836</v>
      </c>
      <c r="F793" s="19" t="s">
        <v>860</v>
      </c>
      <c r="G793" s="19" t="s">
        <v>884</v>
      </c>
      <c r="H793" s="19" t="s">
        <v>912</v>
      </c>
      <c r="I793" s="19" t="s">
        <v>989</v>
      </c>
      <c r="J793" s="19" t="s">
        <v>1004</v>
      </c>
      <c r="K793" s="24">
        <v>46256</v>
      </c>
      <c r="L793" s="19"/>
      <c r="M793" s="19"/>
      <c r="N793" s="21">
        <v>0</v>
      </c>
      <c r="O793" s="23">
        <v>308.03</v>
      </c>
      <c r="P793" s="19" t="s">
        <v>1016</v>
      </c>
      <c r="Q793" s="20">
        <v>1</v>
      </c>
      <c r="R793" s="19" t="s">
        <v>1021</v>
      </c>
      <c r="S793" s="19"/>
    </row>
    <row r="794" spans="1:19">
      <c r="A794" s="19" t="s">
        <v>793</v>
      </c>
      <c r="B794" s="19" t="s">
        <v>824</v>
      </c>
      <c r="C794" s="19" t="s">
        <v>829</v>
      </c>
      <c r="D794" s="20">
        <v>0</v>
      </c>
      <c r="E794" s="19" t="s">
        <v>842</v>
      </c>
      <c r="F794" s="19" t="s">
        <v>866</v>
      </c>
      <c r="G794" s="19" t="s">
        <v>890</v>
      </c>
      <c r="H794" s="19" t="s">
        <v>914</v>
      </c>
      <c r="I794" s="19" t="s">
        <v>989</v>
      </c>
      <c r="J794" s="19" t="s">
        <v>1004</v>
      </c>
      <c r="K794" s="24">
        <v>46256</v>
      </c>
      <c r="L794" s="19"/>
      <c r="M794" s="19"/>
      <c r="N794" s="21">
        <v>0</v>
      </c>
      <c r="O794" s="23">
        <v>320</v>
      </c>
      <c r="P794" s="19" t="s">
        <v>1016</v>
      </c>
      <c r="Q794" s="20">
        <v>1</v>
      </c>
      <c r="R794" s="19" t="s">
        <v>1022</v>
      </c>
      <c r="S794" s="19"/>
    </row>
    <row r="795" spans="1:19">
      <c r="A795" s="19" t="s">
        <v>794</v>
      </c>
      <c r="B795" s="19" t="s">
        <v>826</v>
      </c>
      <c r="C795" s="19" t="s">
        <v>831</v>
      </c>
      <c r="D795" s="20">
        <v>1</v>
      </c>
      <c r="E795" s="19" t="s">
        <v>842</v>
      </c>
      <c r="F795" s="19" t="s">
        <v>866</v>
      </c>
      <c r="G795" s="19" t="s">
        <v>890</v>
      </c>
      <c r="H795" s="19" t="s">
        <v>968</v>
      </c>
      <c r="I795" s="19" t="s">
        <v>1001</v>
      </c>
      <c r="J795" s="19" t="s">
        <v>1005</v>
      </c>
      <c r="K795" s="24">
        <v>46256</v>
      </c>
      <c r="L795" s="26">
        <v>46256.66666666666</v>
      </c>
      <c r="M795" s="26">
        <v>46257.20833333334</v>
      </c>
      <c r="N795" s="21">
        <v>13</v>
      </c>
      <c r="O795" s="23">
        <v>3893</v>
      </c>
      <c r="P795" s="19" t="s">
        <v>1018</v>
      </c>
      <c r="Q795" s="20">
        <v>1</v>
      </c>
      <c r="R795" s="19" t="s">
        <v>1024</v>
      </c>
      <c r="S795" s="19" t="s">
        <v>1035</v>
      </c>
    </row>
    <row r="796" spans="1:19">
      <c r="A796" s="19" t="s">
        <v>795</v>
      </c>
      <c r="B796" s="19" t="s">
        <v>825</v>
      </c>
      <c r="C796" s="19" t="s">
        <v>830</v>
      </c>
      <c r="D796" s="20">
        <v>1</v>
      </c>
      <c r="E796" s="19" t="s">
        <v>843</v>
      </c>
      <c r="F796" s="19" t="s">
        <v>867</v>
      </c>
      <c r="G796" s="19" t="s">
        <v>891</v>
      </c>
      <c r="H796" s="19" t="s">
        <v>955</v>
      </c>
      <c r="I796" s="19" t="s">
        <v>1000</v>
      </c>
      <c r="J796" s="19" t="s">
        <v>1006</v>
      </c>
      <c r="K796" s="24">
        <v>46257</v>
      </c>
      <c r="L796" s="26">
        <v>46257.09583333333</v>
      </c>
      <c r="M796" s="19"/>
      <c r="N796" s="21">
        <v>0</v>
      </c>
      <c r="O796" s="23">
        <v>3834.95</v>
      </c>
      <c r="P796" s="19" t="s">
        <v>1016</v>
      </c>
      <c r="Q796" s="20">
        <v>1</v>
      </c>
      <c r="R796" s="19" t="s">
        <v>1021</v>
      </c>
      <c r="S796" s="19"/>
    </row>
    <row r="797" spans="1:19">
      <c r="A797" s="19" t="s">
        <v>796</v>
      </c>
      <c r="B797" s="19" t="s">
        <v>823</v>
      </c>
      <c r="C797" s="19" t="s">
        <v>828</v>
      </c>
      <c r="D797" s="20">
        <v>0</v>
      </c>
      <c r="E797" s="19" t="s">
        <v>844</v>
      </c>
      <c r="F797" s="19" t="s">
        <v>868</v>
      </c>
      <c r="G797" s="19" t="s">
        <v>892</v>
      </c>
      <c r="H797" s="19" t="s">
        <v>909</v>
      </c>
      <c r="I797" s="19" t="s">
        <v>989</v>
      </c>
      <c r="J797" s="19" t="s">
        <v>1004</v>
      </c>
      <c r="K797" s="24">
        <v>46258</v>
      </c>
      <c r="L797" s="19"/>
      <c r="M797" s="19"/>
      <c r="N797" s="21">
        <v>0</v>
      </c>
      <c r="O797" s="23">
        <v>532.4</v>
      </c>
      <c r="P797" s="19" t="s">
        <v>1016</v>
      </c>
      <c r="Q797" s="20">
        <v>1</v>
      </c>
      <c r="R797" s="19" t="s">
        <v>1022</v>
      </c>
      <c r="S797" s="19"/>
    </row>
    <row r="798" spans="1:19">
      <c r="A798" s="19" t="s">
        <v>797</v>
      </c>
      <c r="B798" s="19" t="s">
        <v>823</v>
      </c>
      <c r="C798" s="19" t="s">
        <v>828</v>
      </c>
      <c r="D798" s="20">
        <v>0</v>
      </c>
      <c r="E798" s="19" t="s">
        <v>834</v>
      </c>
      <c r="F798" s="19" t="s">
        <v>858</v>
      </c>
      <c r="G798" s="19" t="s">
        <v>882</v>
      </c>
      <c r="H798" s="19" t="s">
        <v>924</v>
      </c>
      <c r="I798" s="19" t="s">
        <v>989</v>
      </c>
      <c r="J798" s="19" t="s">
        <v>1004</v>
      </c>
      <c r="K798" s="24">
        <v>46258</v>
      </c>
      <c r="L798" s="19"/>
      <c r="M798" s="19"/>
      <c r="N798" s="21">
        <v>0</v>
      </c>
      <c r="O798" s="23">
        <v>355.19</v>
      </c>
      <c r="P798" s="19" t="s">
        <v>1018</v>
      </c>
      <c r="Q798" s="20">
        <v>1</v>
      </c>
      <c r="R798" s="19" t="s">
        <v>1023</v>
      </c>
      <c r="S798" s="19"/>
    </row>
    <row r="799" spans="1:19">
      <c r="A799" s="19" t="s">
        <v>798</v>
      </c>
      <c r="B799" s="19" t="s">
        <v>823</v>
      </c>
      <c r="C799" s="19" t="s">
        <v>828</v>
      </c>
      <c r="D799" s="20">
        <v>0</v>
      </c>
      <c r="E799" s="19" t="s">
        <v>847</v>
      </c>
      <c r="F799" s="19" t="s">
        <v>871</v>
      </c>
      <c r="G799" s="19" t="s">
        <v>895</v>
      </c>
      <c r="H799" s="19" t="s">
        <v>909</v>
      </c>
      <c r="I799" s="19" t="s">
        <v>989</v>
      </c>
      <c r="J799" s="19" t="s">
        <v>1004</v>
      </c>
      <c r="K799" s="24">
        <v>46258</v>
      </c>
      <c r="L799" s="19"/>
      <c r="M799" s="19"/>
      <c r="N799" s="21">
        <v>0</v>
      </c>
      <c r="O799" s="23">
        <v>295.52</v>
      </c>
      <c r="P799" s="19" t="s">
        <v>1017</v>
      </c>
      <c r="Q799" s="20">
        <v>1</v>
      </c>
      <c r="R799" s="19" t="s">
        <v>1021</v>
      </c>
      <c r="S799" s="19"/>
    </row>
    <row r="800" spans="1:19">
      <c r="A800" s="19" t="s">
        <v>799</v>
      </c>
      <c r="B800" s="19" t="s">
        <v>825</v>
      </c>
      <c r="C800" s="19" t="s">
        <v>830</v>
      </c>
      <c r="D800" s="20">
        <v>1</v>
      </c>
      <c r="E800" s="19" t="s">
        <v>852</v>
      </c>
      <c r="F800" s="19" t="s">
        <v>876</v>
      </c>
      <c r="G800" s="19" t="s">
        <v>900</v>
      </c>
      <c r="H800" s="19" t="s">
        <v>968</v>
      </c>
      <c r="I800" s="19" t="s">
        <v>1001</v>
      </c>
      <c r="J800" s="19" t="s">
        <v>1005</v>
      </c>
      <c r="K800" s="24">
        <v>46258</v>
      </c>
      <c r="L800" s="26">
        <v>46258.31597222222</v>
      </c>
      <c r="M800" s="26">
        <v>46258.49097222222</v>
      </c>
      <c r="N800" s="21">
        <v>4.2</v>
      </c>
      <c r="O800" s="23">
        <v>2709.34</v>
      </c>
      <c r="P800" s="19" t="s">
        <v>1017</v>
      </c>
      <c r="Q800" s="20">
        <v>1</v>
      </c>
      <c r="R800" s="19" t="s">
        <v>1021</v>
      </c>
      <c r="S800" s="19" t="s">
        <v>1035</v>
      </c>
    </row>
    <row r="801" spans="1:19">
      <c r="A801" s="19" t="s">
        <v>800</v>
      </c>
      <c r="B801" s="19" t="s">
        <v>823</v>
      </c>
      <c r="C801" s="19" t="s">
        <v>828</v>
      </c>
      <c r="D801" s="20">
        <v>0</v>
      </c>
      <c r="E801" s="19" t="s">
        <v>843</v>
      </c>
      <c r="F801" s="19" t="s">
        <v>867</v>
      </c>
      <c r="G801" s="19" t="s">
        <v>891</v>
      </c>
      <c r="H801" s="19" t="s">
        <v>907</v>
      </c>
      <c r="I801" s="19" t="s">
        <v>989</v>
      </c>
      <c r="J801" s="19" t="s">
        <v>1004</v>
      </c>
      <c r="K801" s="24">
        <v>46259</v>
      </c>
      <c r="L801" s="19"/>
      <c r="M801" s="19"/>
      <c r="N801" s="21">
        <v>0</v>
      </c>
      <c r="O801" s="23">
        <v>207.53</v>
      </c>
      <c r="P801" s="19" t="s">
        <v>1017</v>
      </c>
      <c r="Q801" s="20">
        <v>1</v>
      </c>
      <c r="R801" s="19" t="s">
        <v>1022</v>
      </c>
      <c r="S801" s="19"/>
    </row>
    <row r="802" spans="1:19">
      <c r="A802" s="19" t="s">
        <v>801</v>
      </c>
      <c r="B802" s="19" t="s">
        <v>825</v>
      </c>
      <c r="C802" s="19" t="s">
        <v>830</v>
      </c>
      <c r="D802" s="20">
        <v>1</v>
      </c>
      <c r="E802" s="19" t="s">
        <v>851</v>
      </c>
      <c r="F802" s="19" t="s">
        <v>875</v>
      </c>
      <c r="G802" s="19" t="s">
        <v>899</v>
      </c>
      <c r="H802" s="19" t="s">
        <v>951</v>
      </c>
      <c r="I802" s="19" t="s">
        <v>992</v>
      </c>
      <c r="J802" s="19" t="s">
        <v>1005</v>
      </c>
      <c r="K802" s="24">
        <v>46260</v>
      </c>
      <c r="L802" s="26">
        <v>46260.99375</v>
      </c>
      <c r="M802" s="26">
        <v>46261.20208333333</v>
      </c>
      <c r="N802" s="21">
        <v>5</v>
      </c>
      <c r="O802" s="23">
        <v>6469.26</v>
      </c>
      <c r="P802" s="19" t="s">
        <v>1017</v>
      </c>
      <c r="Q802" s="20">
        <v>1</v>
      </c>
      <c r="R802" s="19" t="s">
        <v>1022</v>
      </c>
      <c r="S802" s="19" t="s">
        <v>1034</v>
      </c>
    </row>
    <row r="803" spans="1:19">
      <c r="A803" s="19" t="s">
        <v>802</v>
      </c>
      <c r="B803" s="19" t="s">
        <v>823</v>
      </c>
      <c r="C803" s="19" t="s">
        <v>828</v>
      </c>
      <c r="D803" s="20">
        <v>0</v>
      </c>
      <c r="E803" s="19" t="s">
        <v>840</v>
      </c>
      <c r="F803" s="19" t="s">
        <v>864</v>
      </c>
      <c r="G803" s="19" t="s">
        <v>888</v>
      </c>
      <c r="H803" s="19" t="s">
        <v>924</v>
      </c>
      <c r="I803" s="19" t="s">
        <v>989</v>
      </c>
      <c r="J803" s="19" t="s">
        <v>1004</v>
      </c>
      <c r="K803" s="24">
        <v>46261</v>
      </c>
      <c r="L803" s="19"/>
      <c r="M803" s="19"/>
      <c r="N803" s="21">
        <v>0</v>
      </c>
      <c r="O803" s="23">
        <v>706.47</v>
      </c>
      <c r="P803" s="19" t="s">
        <v>1016</v>
      </c>
      <c r="Q803" s="20">
        <v>1</v>
      </c>
      <c r="R803" s="19" t="s">
        <v>1022</v>
      </c>
      <c r="S803" s="19"/>
    </row>
    <row r="804" spans="1:19">
      <c r="A804" s="19" t="s">
        <v>803</v>
      </c>
      <c r="B804" s="19" t="s">
        <v>823</v>
      </c>
      <c r="C804" s="19" t="s">
        <v>828</v>
      </c>
      <c r="D804" s="20">
        <v>0</v>
      </c>
      <c r="E804" s="19" t="s">
        <v>852</v>
      </c>
      <c r="F804" s="19" t="s">
        <v>876</v>
      </c>
      <c r="G804" s="19" t="s">
        <v>900</v>
      </c>
      <c r="H804" s="19" t="s">
        <v>924</v>
      </c>
      <c r="I804" s="19" t="s">
        <v>989</v>
      </c>
      <c r="J804" s="19" t="s">
        <v>1004</v>
      </c>
      <c r="K804" s="24">
        <v>46261</v>
      </c>
      <c r="L804" s="19"/>
      <c r="M804" s="19"/>
      <c r="N804" s="21">
        <v>0</v>
      </c>
      <c r="O804" s="23">
        <v>584.45</v>
      </c>
      <c r="P804" s="19" t="s">
        <v>1018</v>
      </c>
      <c r="Q804" s="20">
        <v>1</v>
      </c>
      <c r="R804" s="19" t="s">
        <v>1022</v>
      </c>
      <c r="S804" s="19"/>
    </row>
    <row r="805" spans="1:19">
      <c r="A805" s="19" t="s">
        <v>804</v>
      </c>
      <c r="B805" s="19" t="s">
        <v>824</v>
      </c>
      <c r="C805" s="19" t="s">
        <v>829</v>
      </c>
      <c r="D805" s="20">
        <v>0</v>
      </c>
      <c r="E805" s="19" t="s">
        <v>836</v>
      </c>
      <c r="F805" s="19" t="s">
        <v>860</v>
      </c>
      <c r="G805" s="19" t="s">
        <v>884</v>
      </c>
      <c r="H805" s="19" t="s">
        <v>910</v>
      </c>
      <c r="I805" s="19" t="s">
        <v>989</v>
      </c>
      <c r="J805" s="19" t="s">
        <v>1004</v>
      </c>
      <c r="K805" s="24">
        <v>46261</v>
      </c>
      <c r="L805" s="19"/>
      <c r="M805" s="19"/>
      <c r="N805" s="21">
        <v>0</v>
      </c>
      <c r="O805" s="23">
        <v>120</v>
      </c>
      <c r="P805" s="19" t="s">
        <v>1016</v>
      </c>
      <c r="Q805" s="20">
        <v>1</v>
      </c>
      <c r="R805" s="19" t="s">
        <v>1022</v>
      </c>
      <c r="S805" s="19"/>
    </row>
    <row r="806" spans="1:19">
      <c r="A806" s="19" t="s">
        <v>805</v>
      </c>
      <c r="B806" s="19" t="s">
        <v>823</v>
      </c>
      <c r="C806" s="19" t="s">
        <v>828</v>
      </c>
      <c r="D806" s="20">
        <v>0</v>
      </c>
      <c r="E806" s="19" t="s">
        <v>850</v>
      </c>
      <c r="F806" s="19" t="s">
        <v>874</v>
      </c>
      <c r="G806" s="19" t="s">
        <v>898</v>
      </c>
      <c r="H806" s="19" t="s">
        <v>912</v>
      </c>
      <c r="I806" s="19" t="s">
        <v>989</v>
      </c>
      <c r="J806" s="19" t="s">
        <v>1004</v>
      </c>
      <c r="K806" s="24">
        <v>46262</v>
      </c>
      <c r="L806" s="19"/>
      <c r="M806" s="19"/>
      <c r="N806" s="21">
        <v>0</v>
      </c>
      <c r="O806" s="23">
        <v>349.28</v>
      </c>
      <c r="P806" s="19" t="s">
        <v>1016</v>
      </c>
      <c r="Q806" s="20">
        <v>1</v>
      </c>
      <c r="R806" s="19" t="s">
        <v>1021</v>
      </c>
      <c r="S806" s="19"/>
    </row>
    <row r="807" spans="1:19">
      <c r="A807" s="19" t="s">
        <v>806</v>
      </c>
      <c r="B807" s="19" t="s">
        <v>823</v>
      </c>
      <c r="C807" s="19" t="s">
        <v>828</v>
      </c>
      <c r="D807" s="20">
        <v>0</v>
      </c>
      <c r="E807" s="19" t="s">
        <v>839</v>
      </c>
      <c r="F807" s="19" t="s">
        <v>863</v>
      </c>
      <c r="G807" s="19" t="s">
        <v>887</v>
      </c>
      <c r="H807" s="19" t="s">
        <v>907</v>
      </c>
      <c r="I807" s="19" t="s">
        <v>989</v>
      </c>
      <c r="J807" s="19" t="s">
        <v>1004</v>
      </c>
      <c r="K807" s="24">
        <v>46262</v>
      </c>
      <c r="L807" s="19"/>
      <c r="M807" s="19"/>
      <c r="N807" s="21">
        <v>0</v>
      </c>
      <c r="O807" s="23">
        <v>285.52</v>
      </c>
      <c r="P807" s="19" t="s">
        <v>1018</v>
      </c>
      <c r="Q807" s="20">
        <v>1</v>
      </c>
      <c r="R807" s="19" t="s">
        <v>1023</v>
      </c>
      <c r="S807" s="19"/>
    </row>
    <row r="808" spans="1:19">
      <c r="A808" s="19" t="s">
        <v>807</v>
      </c>
      <c r="B808" s="19" t="s">
        <v>824</v>
      </c>
      <c r="C808" s="19" t="s">
        <v>829</v>
      </c>
      <c r="D808" s="20">
        <v>0</v>
      </c>
      <c r="E808" s="19" t="s">
        <v>838</v>
      </c>
      <c r="F808" s="19" t="s">
        <v>862</v>
      </c>
      <c r="G808" s="19" t="s">
        <v>886</v>
      </c>
      <c r="H808" s="19" t="s">
        <v>914</v>
      </c>
      <c r="I808" s="19" t="s">
        <v>989</v>
      </c>
      <c r="J808" s="19" t="s">
        <v>1004</v>
      </c>
      <c r="K808" s="24">
        <v>46262</v>
      </c>
      <c r="L808" s="19"/>
      <c r="M808" s="19"/>
      <c r="N808" s="21">
        <v>0</v>
      </c>
      <c r="O808" s="23">
        <v>80</v>
      </c>
      <c r="P808" s="19" t="s">
        <v>1017</v>
      </c>
      <c r="Q808" s="20">
        <v>1</v>
      </c>
      <c r="R808" s="19" t="s">
        <v>1023</v>
      </c>
      <c r="S808" s="19"/>
    </row>
    <row r="809" spans="1:19">
      <c r="A809" s="19" t="s">
        <v>808</v>
      </c>
      <c r="B809" s="19" t="s">
        <v>824</v>
      </c>
      <c r="C809" s="19" t="s">
        <v>829</v>
      </c>
      <c r="D809" s="20">
        <v>0</v>
      </c>
      <c r="E809" s="19" t="s">
        <v>839</v>
      </c>
      <c r="F809" s="19" t="s">
        <v>863</v>
      </c>
      <c r="G809" s="19" t="s">
        <v>887</v>
      </c>
      <c r="H809" s="19" t="s">
        <v>925</v>
      </c>
      <c r="I809" s="19" t="s">
        <v>989</v>
      </c>
      <c r="J809" s="19" t="s">
        <v>1004</v>
      </c>
      <c r="K809" s="24">
        <v>46262</v>
      </c>
      <c r="L809" s="19"/>
      <c r="M809" s="19"/>
      <c r="N809" s="21">
        <v>0</v>
      </c>
      <c r="O809" s="23">
        <v>160</v>
      </c>
      <c r="P809" s="19" t="s">
        <v>1018</v>
      </c>
      <c r="Q809" s="20">
        <v>1</v>
      </c>
      <c r="R809" s="19" t="s">
        <v>1021</v>
      </c>
      <c r="S809" s="19"/>
    </row>
    <row r="810" spans="1:19">
      <c r="A810" s="19" t="s">
        <v>809</v>
      </c>
      <c r="B810" s="19" t="s">
        <v>824</v>
      </c>
      <c r="C810" s="19" t="s">
        <v>829</v>
      </c>
      <c r="D810" s="20">
        <v>0</v>
      </c>
      <c r="E810" s="19" t="s">
        <v>855</v>
      </c>
      <c r="F810" s="19" t="s">
        <v>879</v>
      </c>
      <c r="G810" s="19" t="s">
        <v>903</v>
      </c>
      <c r="H810" s="19" t="s">
        <v>914</v>
      </c>
      <c r="I810" s="19" t="s">
        <v>989</v>
      </c>
      <c r="J810" s="19" t="s">
        <v>1004</v>
      </c>
      <c r="K810" s="24">
        <v>46262</v>
      </c>
      <c r="L810" s="19"/>
      <c r="M810" s="19"/>
      <c r="N810" s="21">
        <v>0</v>
      </c>
      <c r="O810" s="23">
        <v>100</v>
      </c>
      <c r="P810" s="19" t="s">
        <v>1018</v>
      </c>
      <c r="Q810" s="20">
        <v>1</v>
      </c>
      <c r="R810" s="19" t="s">
        <v>1023</v>
      </c>
      <c r="S810" s="19"/>
    </row>
    <row r="811" spans="1:19">
      <c r="A811" s="19" t="s">
        <v>810</v>
      </c>
      <c r="B811" s="19" t="s">
        <v>824</v>
      </c>
      <c r="C811" s="19" t="s">
        <v>829</v>
      </c>
      <c r="D811" s="20">
        <v>0</v>
      </c>
      <c r="E811" s="19" t="s">
        <v>840</v>
      </c>
      <c r="F811" s="19" t="s">
        <v>864</v>
      </c>
      <c r="G811" s="19" t="s">
        <v>888</v>
      </c>
      <c r="H811" s="19" t="s">
        <v>914</v>
      </c>
      <c r="I811" s="19" t="s">
        <v>989</v>
      </c>
      <c r="J811" s="19" t="s">
        <v>1004</v>
      </c>
      <c r="K811" s="24">
        <v>46262</v>
      </c>
      <c r="L811" s="19"/>
      <c r="M811" s="19"/>
      <c r="N811" s="21">
        <v>0</v>
      </c>
      <c r="O811" s="23">
        <v>240</v>
      </c>
      <c r="P811" s="19" t="s">
        <v>1016</v>
      </c>
      <c r="Q811" s="20">
        <v>1</v>
      </c>
      <c r="R811" s="19" t="s">
        <v>1023</v>
      </c>
      <c r="S811" s="19"/>
    </row>
    <row r="812" spans="1:19">
      <c r="A812" s="19" t="s">
        <v>811</v>
      </c>
      <c r="B812" s="19" t="s">
        <v>826</v>
      </c>
      <c r="C812" s="19" t="s">
        <v>831</v>
      </c>
      <c r="D812" s="20">
        <v>1</v>
      </c>
      <c r="E812" s="19" t="s">
        <v>840</v>
      </c>
      <c r="F812" s="19" t="s">
        <v>864</v>
      </c>
      <c r="G812" s="19" t="s">
        <v>888</v>
      </c>
      <c r="H812" s="19" t="s">
        <v>985</v>
      </c>
      <c r="I812" s="19" t="s">
        <v>999</v>
      </c>
      <c r="J812" s="19" t="s">
        <v>1006</v>
      </c>
      <c r="K812" s="24">
        <v>46262</v>
      </c>
      <c r="L812" s="26">
        <v>46262.58611111111</v>
      </c>
      <c r="M812" s="26">
        <v>46263.04444444444</v>
      </c>
      <c r="N812" s="21">
        <v>11</v>
      </c>
      <c r="O812" s="23">
        <v>15172.98</v>
      </c>
      <c r="P812" s="19" t="s">
        <v>1016</v>
      </c>
      <c r="Q812" s="20">
        <v>1</v>
      </c>
      <c r="R812" s="19" t="s">
        <v>1024</v>
      </c>
      <c r="S812" s="19"/>
    </row>
    <row r="813" spans="1:19">
      <c r="A813" s="19" t="s">
        <v>812</v>
      </c>
      <c r="B813" s="19" t="s">
        <v>826</v>
      </c>
      <c r="C813" s="19" t="s">
        <v>831</v>
      </c>
      <c r="D813" s="20">
        <v>1</v>
      </c>
      <c r="E813" s="19" t="s">
        <v>856</v>
      </c>
      <c r="F813" s="19" t="s">
        <v>880</v>
      </c>
      <c r="G813" s="19" t="s">
        <v>904</v>
      </c>
      <c r="H813" s="19" t="s">
        <v>955</v>
      </c>
      <c r="I813" s="19" t="s">
        <v>1000</v>
      </c>
      <c r="J813" s="19" t="s">
        <v>1006</v>
      </c>
      <c r="K813" s="24">
        <v>46262</v>
      </c>
      <c r="L813" s="26">
        <v>46262.61666666667</v>
      </c>
      <c r="M813" s="26">
        <v>46262.67083333333</v>
      </c>
      <c r="N813" s="21">
        <v>1.3</v>
      </c>
      <c r="O813" s="23">
        <v>740</v>
      </c>
      <c r="P813" s="19" t="s">
        <v>1018</v>
      </c>
      <c r="Q813" s="20">
        <v>1</v>
      </c>
      <c r="R813" s="19" t="s">
        <v>1022</v>
      </c>
      <c r="S813" s="19"/>
    </row>
    <row r="814" spans="1:19">
      <c r="A814" s="19" t="s">
        <v>813</v>
      </c>
      <c r="B814" s="19" t="s">
        <v>826</v>
      </c>
      <c r="C814" s="19" t="s">
        <v>831</v>
      </c>
      <c r="D814" s="20">
        <v>1</v>
      </c>
      <c r="E814" s="19" t="s">
        <v>839</v>
      </c>
      <c r="F814" s="19" t="s">
        <v>863</v>
      </c>
      <c r="G814" s="19" t="s">
        <v>887</v>
      </c>
      <c r="H814" s="19" t="s">
        <v>933</v>
      </c>
      <c r="I814" s="19" t="s">
        <v>999</v>
      </c>
      <c r="J814" s="19" t="s">
        <v>1005</v>
      </c>
      <c r="K814" s="24">
        <v>46263</v>
      </c>
      <c r="L814" s="26">
        <v>46263.25208333333</v>
      </c>
      <c r="M814" s="26">
        <v>46263.81041666667</v>
      </c>
      <c r="N814" s="21">
        <v>13.4</v>
      </c>
      <c r="O814" s="23">
        <v>6944.65</v>
      </c>
      <c r="P814" s="19" t="s">
        <v>1018</v>
      </c>
      <c r="Q814" s="20">
        <v>1</v>
      </c>
      <c r="R814" s="19" t="s">
        <v>1024</v>
      </c>
      <c r="S814" s="19" t="s">
        <v>1036</v>
      </c>
    </row>
    <row r="815" spans="1:19">
      <c r="A815" s="19" t="s">
        <v>814</v>
      </c>
      <c r="B815" s="19" t="s">
        <v>825</v>
      </c>
      <c r="C815" s="19" t="s">
        <v>830</v>
      </c>
      <c r="D815" s="20">
        <v>1</v>
      </c>
      <c r="E815" s="19" t="s">
        <v>847</v>
      </c>
      <c r="F815" s="19" t="s">
        <v>871</v>
      </c>
      <c r="G815" s="19" t="s">
        <v>895</v>
      </c>
      <c r="H815" s="19" t="s">
        <v>930</v>
      </c>
      <c r="I815" s="19" t="s">
        <v>998</v>
      </c>
      <c r="J815" s="19" t="s">
        <v>1006</v>
      </c>
      <c r="K815" s="24">
        <v>46263</v>
      </c>
      <c r="L815" s="26">
        <v>46263.34861111111</v>
      </c>
      <c r="M815" s="26">
        <v>46263.73194444444</v>
      </c>
      <c r="N815" s="21">
        <v>9.199999999999999</v>
      </c>
      <c r="O815" s="23">
        <v>3730.71</v>
      </c>
      <c r="P815" s="19" t="s">
        <v>1016</v>
      </c>
      <c r="Q815" s="20">
        <v>1</v>
      </c>
      <c r="R815" s="19" t="s">
        <v>1021</v>
      </c>
      <c r="S815" s="19"/>
    </row>
    <row r="816" spans="1:19">
      <c r="A816" s="19" t="s">
        <v>815</v>
      </c>
      <c r="B816" s="19" t="s">
        <v>824</v>
      </c>
      <c r="C816" s="19" t="s">
        <v>829</v>
      </c>
      <c r="D816" s="20">
        <v>0</v>
      </c>
      <c r="E816" s="19" t="s">
        <v>835</v>
      </c>
      <c r="F816" s="19" t="s">
        <v>859</v>
      </c>
      <c r="G816" s="19" t="s">
        <v>883</v>
      </c>
      <c r="H816" s="19" t="s">
        <v>910</v>
      </c>
      <c r="I816" s="19" t="s">
        <v>989</v>
      </c>
      <c r="J816" s="19" t="s">
        <v>1004</v>
      </c>
      <c r="K816" s="24">
        <v>46263</v>
      </c>
      <c r="L816" s="19"/>
      <c r="M816" s="19"/>
      <c r="N816" s="21">
        <v>0</v>
      </c>
      <c r="O816" s="23">
        <v>152</v>
      </c>
      <c r="P816" s="19" t="s">
        <v>1017</v>
      </c>
      <c r="Q816" s="20">
        <v>1</v>
      </c>
      <c r="R816" s="19" t="s">
        <v>1021</v>
      </c>
      <c r="S816" s="19"/>
    </row>
    <row r="817" spans="1:19">
      <c r="A817" s="19" t="s">
        <v>816</v>
      </c>
      <c r="B817" s="19" t="s">
        <v>826</v>
      </c>
      <c r="C817" s="19" t="s">
        <v>831</v>
      </c>
      <c r="D817" s="20">
        <v>1</v>
      </c>
      <c r="E817" s="19" t="s">
        <v>843</v>
      </c>
      <c r="F817" s="19" t="s">
        <v>867</v>
      </c>
      <c r="G817" s="19" t="s">
        <v>891</v>
      </c>
      <c r="H817" s="19" t="s">
        <v>981</v>
      </c>
      <c r="I817" s="19" t="s">
        <v>1000</v>
      </c>
      <c r="J817" s="19" t="s">
        <v>1006</v>
      </c>
      <c r="K817" s="24">
        <v>46265</v>
      </c>
      <c r="L817" s="26">
        <v>46265.27777777778</v>
      </c>
      <c r="M817" s="19"/>
      <c r="N817" s="21">
        <v>0</v>
      </c>
      <c r="O817" s="23">
        <v>0</v>
      </c>
      <c r="P817" s="19" t="s">
        <v>1016</v>
      </c>
      <c r="Q817" s="20">
        <v>1</v>
      </c>
      <c r="R817" s="19" t="s">
        <v>1024</v>
      </c>
      <c r="S817" s="19"/>
    </row>
    <row r="818" spans="1:19">
      <c r="A818" s="19" t="s">
        <v>817</v>
      </c>
      <c r="B818" s="19" t="s">
        <v>823</v>
      </c>
      <c r="C818" s="19" t="s">
        <v>828</v>
      </c>
      <c r="D818" s="20">
        <v>0</v>
      </c>
      <c r="E818" s="19" t="s">
        <v>848</v>
      </c>
      <c r="F818" s="19" t="s">
        <v>872</v>
      </c>
      <c r="G818" s="19" t="s">
        <v>896</v>
      </c>
      <c r="H818" s="19" t="s">
        <v>907</v>
      </c>
      <c r="I818" s="19" t="s">
        <v>989</v>
      </c>
      <c r="J818" s="19" t="s">
        <v>1004</v>
      </c>
      <c r="K818" s="24">
        <v>46265</v>
      </c>
      <c r="L818" s="19"/>
      <c r="M818" s="19"/>
      <c r="N818" s="21">
        <v>0</v>
      </c>
      <c r="O818" s="23">
        <v>2188.54</v>
      </c>
      <c r="P818" s="19" t="s">
        <v>1016</v>
      </c>
      <c r="Q818" s="20">
        <v>1</v>
      </c>
      <c r="R818" s="19" t="s">
        <v>1021</v>
      </c>
      <c r="S818" s="19"/>
    </row>
    <row r="819" spans="1:19">
      <c r="A819" s="19" t="s">
        <v>818</v>
      </c>
      <c r="B819" s="19" t="s">
        <v>823</v>
      </c>
      <c r="C819" s="19" t="s">
        <v>828</v>
      </c>
      <c r="D819" s="20">
        <v>0</v>
      </c>
      <c r="E819" s="19" t="s">
        <v>855</v>
      </c>
      <c r="F819" s="19" t="s">
        <v>879</v>
      </c>
      <c r="G819" s="19" t="s">
        <v>903</v>
      </c>
      <c r="H819" s="19" t="s">
        <v>909</v>
      </c>
      <c r="I819" s="19" t="s">
        <v>989</v>
      </c>
      <c r="J819" s="19" t="s">
        <v>1004</v>
      </c>
      <c r="K819" s="24">
        <v>46265</v>
      </c>
      <c r="L819" s="19"/>
      <c r="M819" s="19"/>
      <c r="N819" s="21">
        <v>0</v>
      </c>
      <c r="O819" s="23">
        <v>262.99</v>
      </c>
      <c r="P819" s="19" t="s">
        <v>1017</v>
      </c>
      <c r="Q819" s="20">
        <v>1</v>
      </c>
      <c r="R819" s="19" t="s">
        <v>1021</v>
      </c>
      <c r="S819" s="19"/>
    </row>
    <row r="820" spans="1:19">
      <c r="A820" s="19" t="s">
        <v>819</v>
      </c>
      <c r="B820" s="19" t="s">
        <v>825</v>
      </c>
      <c r="C820" s="19" t="s">
        <v>830</v>
      </c>
      <c r="D820" s="20">
        <v>1</v>
      </c>
      <c r="E820" s="19" t="s">
        <v>845</v>
      </c>
      <c r="F820" s="19" t="s">
        <v>869</v>
      </c>
      <c r="G820" s="19" t="s">
        <v>893</v>
      </c>
      <c r="H820" s="19" t="s">
        <v>953</v>
      </c>
      <c r="I820" s="19" t="s">
        <v>997</v>
      </c>
      <c r="J820" s="19" t="s">
        <v>1005</v>
      </c>
      <c r="K820" s="24">
        <v>46265</v>
      </c>
      <c r="L820" s="26">
        <v>46265.38888888889</v>
      </c>
      <c r="M820" s="26">
        <v>46265.45138888889</v>
      </c>
      <c r="N820" s="21">
        <v>1.5</v>
      </c>
      <c r="O820" s="23">
        <v>600</v>
      </c>
      <c r="P820" s="19" t="s">
        <v>1016</v>
      </c>
      <c r="Q820" s="20">
        <v>1</v>
      </c>
      <c r="R820" s="19" t="s">
        <v>1022</v>
      </c>
      <c r="S820" s="19" t="s">
        <v>1029</v>
      </c>
    </row>
    <row r="821" spans="1:19">
      <c r="A821" s="19" t="s">
        <v>820</v>
      </c>
      <c r="B821" s="19" t="s">
        <v>826</v>
      </c>
      <c r="C821" s="19" t="s">
        <v>831</v>
      </c>
      <c r="D821" s="20">
        <v>1</v>
      </c>
      <c r="E821" s="19" t="s">
        <v>844</v>
      </c>
      <c r="F821" s="19" t="s">
        <v>868</v>
      </c>
      <c r="G821" s="19" t="s">
        <v>892</v>
      </c>
      <c r="H821" s="19" t="s">
        <v>922</v>
      </c>
      <c r="I821" s="19" t="s">
        <v>996</v>
      </c>
      <c r="J821" s="19" t="s">
        <v>1005</v>
      </c>
      <c r="K821" s="24">
        <v>46265</v>
      </c>
      <c r="L821" s="26">
        <v>46265.59027777778</v>
      </c>
      <c r="M821" s="26">
        <v>46265.73611111111</v>
      </c>
      <c r="N821" s="21">
        <v>3.5</v>
      </c>
      <c r="O821" s="23">
        <v>4200</v>
      </c>
      <c r="P821" s="19" t="s">
        <v>1016</v>
      </c>
      <c r="Q821" s="20">
        <v>1</v>
      </c>
      <c r="R821" s="19" t="s">
        <v>1024</v>
      </c>
      <c r="S821" s="19" t="s">
        <v>1028</v>
      </c>
    </row>
    <row r="822" spans="1:19">
      <c r="A822" s="19" t="s">
        <v>821</v>
      </c>
      <c r="B822" s="19" t="s">
        <v>825</v>
      </c>
      <c r="C822" s="19" t="s">
        <v>830</v>
      </c>
      <c r="D822" s="20">
        <v>1</v>
      </c>
      <c r="E822" s="19" t="s">
        <v>847</v>
      </c>
      <c r="F822" s="19" t="s">
        <v>871</v>
      </c>
      <c r="G822" s="19" t="s">
        <v>895</v>
      </c>
      <c r="H822" s="19" t="s">
        <v>927</v>
      </c>
      <c r="I822" s="19" t="s">
        <v>998</v>
      </c>
      <c r="J822" s="19" t="s">
        <v>1006</v>
      </c>
      <c r="K822" s="24">
        <v>46265</v>
      </c>
      <c r="L822" s="26">
        <v>46265.67013888889</v>
      </c>
      <c r="M822" s="26">
        <v>46265.67013888889</v>
      </c>
      <c r="N822" s="21">
        <v>0</v>
      </c>
      <c r="O822" s="23">
        <v>350</v>
      </c>
      <c r="P822" s="19" t="s">
        <v>1016</v>
      </c>
      <c r="Q822" s="20">
        <v>1</v>
      </c>
      <c r="R822" s="19" t="s">
        <v>1023</v>
      </c>
      <c r="S822" s="19"/>
    </row>
  </sheetData>
  <autoFilter ref="A1:S822"/>
  <printOptions gridLines="1"/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4"/>
  <sheetViews>
    <sheetView showGridLines="0" zoomScale="90" zoomScaleNormal="90" workbookViewId="0"/>
  </sheetViews>
  <sheetFormatPr defaultRowHeight="15"/>
  <cols>
    <col min="1" max="1" width="26.7109375" customWidth="1"/>
    <col min="2" max="2" width="100.7109375" customWidth="1"/>
  </cols>
  <sheetData>
    <row r="1" spans="1:2">
      <c r="A1" s="1" t="s">
        <v>1112</v>
      </c>
    </row>
    <row r="3" spans="1:2" ht="30" customHeight="1">
      <c r="A3" s="27" t="s">
        <v>1113</v>
      </c>
      <c r="B3" s="11" t="s">
        <v>1114</v>
      </c>
    </row>
    <row r="4" spans="1:2" ht="30" customHeight="1">
      <c r="A4" s="27" t="s">
        <v>1011</v>
      </c>
      <c r="B4" s="11" t="s">
        <v>1115</v>
      </c>
    </row>
    <row r="5" spans="1:2" ht="30" customHeight="1">
      <c r="A5" s="27" t="s">
        <v>1116</v>
      </c>
      <c r="B5" s="11" t="s">
        <v>1117</v>
      </c>
    </row>
    <row r="6" spans="1:2" ht="30" customHeight="1">
      <c r="A6" s="27" t="s">
        <v>1118</v>
      </c>
      <c r="B6" s="11" t="s">
        <v>1119</v>
      </c>
    </row>
    <row r="7" spans="1:2" ht="30" customHeight="1">
      <c r="A7" s="27" t="s">
        <v>1044</v>
      </c>
      <c r="B7" s="11" t="s">
        <v>1120</v>
      </c>
    </row>
    <row r="8" spans="1:2" ht="30" customHeight="1">
      <c r="A8" s="27" t="s">
        <v>1073</v>
      </c>
      <c r="B8" s="11" t="s">
        <v>1121</v>
      </c>
    </row>
    <row r="9" spans="1:2" ht="30" customHeight="1">
      <c r="A9" s="27" t="s">
        <v>1122</v>
      </c>
      <c r="B9" s="11" t="s">
        <v>1123</v>
      </c>
    </row>
    <row r="10" spans="1:2" ht="30" customHeight="1">
      <c r="A10" s="27" t="s">
        <v>1124</v>
      </c>
      <c r="B10" s="11" t="s">
        <v>1125</v>
      </c>
    </row>
    <row r="11" spans="1:2" ht="30" customHeight="1">
      <c r="A11" s="27" t="s">
        <v>1126</v>
      </c>
      <c r="B11" s="11" t="s">
        <v>1127</v>
      </c>
    </row>
    <row r="12" spans="1:2" ht="30" customHeight="1">
      <c r="A12" s="27" t="s">
        <v>1128</v>
      </c>
      <c r="B12" s="11" t="s">
        <v>1129</v>
      </c>
    </row>
    <row r="13" spans="1:2" ht="30" customHeight="1">
      <c r="A13" s="27" t="s">
        <v>1130</v>
      </c>
      <c r="B13" s="11" t="s">
        <v>1131</v>
      </c>
    </row>
    <row r="14" spans="1:2" ht="30" customHeight="1">
      <c r="A14" s="27" t="s">
        <v>1132</v>
      </c>
      <c r="B14" s="11" t="s">
        <v>1133</v>
      </c>
    </row>
  </sheetData>
  <pageMargins left="0.4" right="0.4" top="0.5" bottom="0.5" header="0.3" footer="0.3"/>
  <pageSetup paperSize="9" fitToHeight="0" orientation="landscape"/>
  <headerFooter>
    <oddFooter>&amp;L&amp;8SAP PM Analyst&amp;R&amp;8Page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Synthèse</vt:lpstr>
      <vt:lpstr>Équipements</vt:lpstr>
      <vt:lpstr>Modes de défaillance</vt:lpstr>
      <vt:lpstr>Pannes récurrentes</vt:lpstr>
      <vt:lpstr>Tendance</vt:lpstr>
      <vt:lpstr>Backlog</vt:lpstr>
      <vt:lpstr>Qualité données</vt:lpstr>
      <vt:lpstr>Données</vt:lpstr>
      <vt:lpstr>Méthode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Analyse maintenance SAP PM</dc:title>
  <dc:creator>SAP PM Analyst</dc:creator>
  <cp:lastModifiedBy>SAP PM Analyst</cp:lastModifiedBy>
  <dcterms:created xsi:type="dcterms:W3CDTF">2026-10-29T09:42:38Z</dcterms:created>
  <dcterms:modified xsi:type="dcterms:W3CDTF">2026-10-29T09:42:38Z</dcterms:modified>
</cp:coreProperties>
</file>